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credit-my.sharepoint.com/personal/omar_franzini_unicredit_eu/Documents/Desktop/"/>
    </mc:Choice>
  </mc:AlternateContent>
  <xr:revisionPtr revIDLastSave="289" documentId="8_{807EAC03-F362-4D59-9AB4-9BD4CBDCC9C6}" xr6:coauthVersionLast="47" xr6:coauthVersionMax="47" xr10:uidLastSave="{D0622DF1-8E7C-4AAF-982A-2F953453F082}"/>
  <bookViews>
    <workbookView xWindow="-120" yWindow="-120" windowWidth="25440" windowHeight="15270" xr2:uid="{00000000-000D-0000-FFFF-FFFF00000000}"/>
  </bookViews>
  <sheets>
    <sheet name="Gruppi_Atleti" sheetId="1" r:id="rId1"/>
    <sheet name="Presenze" sheetId="2" r:id="rId2"/>
    <sheet name="Disponibilità_Recuperi" sheetId="3" r:id="rId3"/>
  </sheets>
  <definedNames>
    <definedName name="_xlnm._FilterDatabase" localSheetId="0" hidden="1">Gruppi_Atleti!$A$1:$R$134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" i="1" l="1"/>
  <c r="P112" i="1"/>
  <c r="O112" i="1"/>
  <c r="Q112" i="1" s="1"/>
  <c r="J112" i="1"/>
  <c r="I112" i="1"/>
  <c r="K112" i="1" s="1"/>
  <c r="H112" i="1"/>
  <c r="P113" i="1"/>
  <c r="O113" i="1"/>
  <c r="Q113" i="1" s="1"/>
  <c r="J113" i="1"/>
  <c r="I113" i="1"/>
  <c r="H113" i="1"/>
  <c r="P114" i="1"/>
  <c r="O114" i="1"/>
  <c r="Q114" i="1" s="1"/>
  <c r="J114" i="1"/>
  <c r="I114" i="1"/>
  <c r="H114" i="1"/>
  <c r="O108" i="1"/>
  <c r="O109" i="1"/>
  <c r="P121" i="1"/>
  <c r="O121" i="1"/>
  <c r="Q121" i="1" s="1"/>
  <c r="J121" i="1"/>
  <c r="I121" i="1"/>
  <c r="H121" i="1"/>
  <c r="P100" i="1"/>
  <c r="O100" i="1"/>
  <c r="Q100" i="1" s="1"/>
  <c r="J100" i="1"/>
  <c r="I100" i="1"/>
  <c r="H100" i="1"/>
  <c r="P99" i="1"/>
  <c r="O99" i="1"/>
  <c r="Q99" i="1" s="1"/>
  <c r="J99" i="1"/>
  <c r="I99" i="1"/>
  <c r="H99" i="1"/>
  <c r="K121" i="1" l="1"/>
  <c r="K113" i="1"/>
  <c r="K114" i="1"/>
  <c r="K100" i="1"/>
  <c r="K99" i="1"/>
  <c r="P54" i="1" l="1"/>
  <c r="O54" i="1"/>
  <c r="Q54" i="1" s="1"/>
  <c r="J54" i="1"/>
  <c r="I54" i="1"/>
  <c r="H54" i="1"/>
  <c r="P49" i="1"/>
  <c r="O49" i="1"/>
  <c r="Q49" i="1" s="1"/>
  <c r="J49" i="1"/>
  <c r="I49" i="1"/>
  <c r="H49" i="1"/>
  <c r="P50" i="1"/>
  <c r="O50" i="1"/>
  <c r="Q50" i="1" s="1"/>
  <c r="J50" i="1"/>
  <c r="I50" i="1"/>
  <c r="H50" i="1"/>
  <c r="N46" i="1"/>
  <c r="O46" i="1" s="1"/>
  <c r="Q46" i="1" s="1"/>
  <c r="N16" i="1"/>
  <c r="P40" i="1"/>
  <c r="O40" i="1"/>
  <c r="Q40" i="1" s="1"/>
  <c r="J40" i="1"/>
  <c r="I40" i="1"/>
  <c r="H40" i="1"/>
  <c r="P31" i="1"/>
  <c r="O31" i="1"/>
  <c r="Q31" i="1" s="1"/>
  <c r="J31" i="1"/>
  <c r="I31" i="1"/>
  <c r="H31" i="1"/>
  <c r="P33" i="1"/>
  <c r="O33" i="1"/>
  <c r="Q33" i="1" s="1"/>
  <c r="J33" i="1"/>
  <c r="I33" i="1"/>
  <c r="H33" i="1"/>
  <c r="Q133" i="1"/>
  <c r="P133" i="1"/>
  <c r="J133" i="1"/>
  <c r="I133" i="1"/>
  <c r="H133" i="1"/>
  <c r="Q132" i="1"/>
  <c r="P132" i="1"/>
  <c r="J132" i="1"/>
  <c r="I132" i="1"/>
  <c r="H132" i="1"/>
  <c r="P131" i="1"/>
  <c r="O131" i="1"/>
  <c r="Q131" i="1" s="1"/>
  <c r="J131" i="1"/>
  <c r="I131" i="1"/>
  <c r="H131" i="1"/>
  <c r="P130" i="1"/>
  <c r="Q130" i="1"/>
  <c r="J130" i="1"/>
  <c r="I130" i="1"/>
  <c r="H130" i="1"/>
  <c r="P129" i="1"/>
  <c r="Q129" i="1"/>
  <c r="J129" i="1"/>
  <c r="I129" i="1"/>
  <c r="H129" i="1"/>
  <c r="P128" i="1"/>
  <c r="O128" i="1"/>
  <c r="Q128" i="1" s="1"/>
  <c r="J128" i="1"/>
  <c r="I128" i="1"/>
  <c r="H128" i="1"/>
  <c r="P127" i="1"/>
  <c r="O127" i="1"/>
  <c r="Q127" i="1" s="1"/>
  <c r="J127" i="1"/>
  <c r="I127" i="1"/>
  <c r="H127" i="1"/>
  <c r="P123" i="1"/>
  <c r="O123" i="1"/>
  <c r="Q123" i="1" s="1"/>
  <c r="J123" i="1"/>
  <c r="I123" i="1"/>
  <c r="H123" i="1"/>
  <c r="P126" i="1"/>
  <c r="O126" i="1"/>
  <c r="Q126" i="1" s="1"/>
  <c r="J126" i="1"/>
  <c r="I126" i="1"/>
  <c r="H126" i="1"/>
  <c r="P124" i="1"/>
  <c r="O124" i="1"/>
  <c r="Q124" i="1" s="1"/>
  <c r="J124" i="1"/>
  <c r="I124" i="1"/>
  <c r="H124" i="1"/>
  <c r="P125" i="1"/>
  <c r="O125" i="1"/>
  <c r="Q125" i="1" s="1"/>
  <c r="J125" i="1"/>
  <c r="I125" i="1"/>
  <c r="H125" i="1"/>
  <c r="O59" i="1"/>
  <c r="Q59" i="1" s="1"/>
  <c r="O90" i="1"/>
  <c r="Q90" i="1" s="1"/>
  <c r="P2" i="1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Q115" i="1"/>
  <c r="P115" i="1"/>
  <c r="O115" i="1"/>
  <c r="J115" i="1"/>
  <c r="I115" i="1"/>
  <c r="H115" i="1"/>
  <c r="P122" i="1"/>
  <c r="O122" i="1"/>
  <c r="Q122" i="1" s="1"/>
  <c r="J122" i="1"/>
  <c r="I122" i="1"/>
  <c r="H122" i="1"/>
  <c r="P120" i="1"/>
  <c r="O120" i="1"/>
  <c r="Q120" i="1" s="1"/>
  <c r="J120" i="1"/>
  <c r="I120" i="1"/>
  <c r="H120" i="1"/>
  <c r="P119" i="1"/>
  <c r="O119" i="1"/>
  <c r="Q119" i="1" s="1"/>
  <c r="J119" i="1"/>
  <c r="I119" i="1"/>
  <c r="H119" i="1"/>
  <c r="P118" i="1"/>
  <c r="O118" i="1"/>
  <c r="Q118" i="1" s="1"/>
  <c r="J118" i="1"/>
  <c r="I118" i="1"/>
  <c r="H118" i="1"/>
  <c r="P117" i="1"/>
  <c r="O117" i="1"/>
  <c r="Q117" i="1" s="1"/>
  <c r="J117" i="1"/>
  <c r="I117" i="1"/>
  <c r="H117" i="1"/>
  <c r="P111" i="1"/>
  <c r="O111" i="1"/>
  <c r="Q111" i="1" s="1"/>
  <c r="J111" i="1"/>
  <c r="I111" i="1"/>
  <c r="H111" i="1"/>
  <c r="Q110" i="1"/>
  <c r="P110" i="1"/>
  <c r="O110" i="1"/>
  <c r="J110" i="1"/>
  <c r="I110" i="1"/>
  <c r="H110" i="1"/>
  <c r="P134" i="1"/>
  <c r="O134" i="1"/>
  <c r="Q134" i="1" s="1"/>
  <c r="J134" i="1"/>
  <c r="I134" i="1"/>
  <c r="H134" i="1"/>
  <c r="P109" i="1"/>
  <c r="Q109" i="1"/>
  <c r="J109" i="1"/>
  <c r="I109" i="1"/>
  <c r="H109" i="1"/>
  <c r="Q108" i="1"/>
  <c r="P108" i="1"/>
  <c r="J108" i="1"/>
  <c r="I108" i="1"/>
  <c r="H108" i="1"/>
  <c r="P107" i="1"/>
  <c r="O107" i="1"/>
  <c r="Q107" i="1" s="1"/>
  <c r="J107" i="1"/>
  <c r="I107" i="1"/>
  <c r="H107" i="1"/>
  <c r="P106" i="1"/>
  <c r="O106" i="1"/>
  <c r="Q106" i="1" s="1"/>
  <c r="J106" i="1"/>
  <c r="I106" i="1"/>
  <c r="H106" i="1"/>
  <c r="P105" i="1"/>
  <c r="O105" i="1"/>
  <c r="Q105" i="1" s="1"/>
  <c r="J105" i="1"/>
  <c r="I105" i="1"/>
  <c r="H105" i="1"/>
  <c r="P104" i="1"/>
  <c r="O104" i="1"/>
  <c r="Q104" i="1" s="1"/>
  <c r="J104" i="1"/>
  <c r="I104" i="1"/>
  <c r="H104" i="1"/>
  <c r="P103" i="1"/>
  <c r="O103" i="1"/>
  <c r="Q103" i="1" s="1"/>
  <c r="J103" i="1"/>
  <c r="I103" i="1"/>
  <c r="H103" i="1"/>
  <c r="P102" i="1"/>
  <c r="O102" i="1"/>
  <c r="Q102" i="1" s="1"/>
  <c r="J102" i="1"/>
  <c r="I102" i="1"/>
  <c r="H102" i="1"/>
  <c r="P101" i="1"/>
  <c r="O101" i="1"/>
  <c r="Q101" i="1" s="1"/>
  <c r="J101" i="1"/>
  <c r="I101" i="1"/>
  <c r="H101" i="1"/>
  <c r="P98" i="1"/>
  <c r="O98" i="1"/>
  <c r="Q98" i="1" s="1"/>
  <c r="J98" i="1"/>
  <c r="I98" i="1"/>
  <c r="H98" i="1"/>
  <c r="P97" i="1"/>
  <c r="O97" i="1"/>
  <c r="Q97" i="1" s="1"/>
  <c r="J97" i="1"/>
  <c r="I97" i="1"/>
  <c r="H97" i="1"/>
  <c r="P96" i="1"/>
  <c r="O96" i="1"/>
  <c r="Q96" i="1" s="1"/>
  <c r="J96" i="1"/>
  <c r="I96" i="1"/>
  <c r="H96" i="1"/>
  <c r="P95" i="1"/>
  <c r="O95" i="1"/>
  <c r="Q95" i="1" s="1"/>
  <c r="J95" i="1"/>
  <c r="I95" i="1"/>
  <c r="H95" i="1"/>
  <c r="P94" i="1"/>
  <c r="O94" i="1"/>
  <c r="Q94" i="1" s="1"/>
  <c r="J94" i="1"/>
  <c r="I94" i="1"/>
  <c r="H94" i="1"/>
  <c r="P93" i="1"/>
  <c r="O93" i="1"/>
  <c r="Q93" i="1" s="1"/>
  <c r="J93" i="1"/>
  <c r="I93" i="1"/>
  <c r="H93" i="1"/>
  <c r="P92" i="1"/>
  <c r="O92" i="1"/>
  <c r="Q92" i="1" s="1"/>
  <c r="J92" i="1"/>
  <c r="I92" i="1"/>
  <c r="H92" i="1"/>
  <c r="P91" i="1"/>
  <c r="O91" i="1"/>
  <c r="Q91" i="1" s="1"/>
  <c r="J91" i="1"/>
  <c r="I91" i="1"/>
  <c r="H91" i="1"/>
  <c r="P90" i="1"/>
  <c r="J90" i="1"/>
  <c r="I90" i="1"/>
  <c r="H90" i="1"/>
  <c r="P89" i="1"/>
  <c r="O89" i="1"/>
  <c r="Q89" i="1" s="1"/>
  <c r="J89" i="1"/>
  <c r="I89" i="1"/>
  <c r="H89" i="1"/>
  <c r="P88" i="1"/>
  <c r="O88" i="1"/>
  <c r="Q88" i="1" s="1"/>
  <c r="J88" i="1"/>
  <c r="I88" i="1"/>
  <c r="H88" i="1"/>
  <c r="P87" i="1"/>
  <c r="O87" i="1"/>
  <c r="Q87" i="1" s="1"/>
  <c r="J87" i="1"/>
  <c r="I87" i="1"/>
  <c r="H87" i="1"/>
  <c r="P116" i="1"/>
  <c r="O116" i="1"/>
  <c r="Q116" i="1" s="1"/>
  <c r="J116" i="1"/>
  <c r="I116" i="1"/>
  <c r="H116" i="1"/>
  <c r="P86" i="1"/>
  <c r="O86" i="1"/>
  <c r="Q86" i="1" s="1"/>
  <c r="J86" i="1"/>
  <c r="I86" i="1"/>
  <c r="H86" i="1"/>
  <c r="P85" i="1"/>
  <c r="O85" i="1"/>
  <c r="Q85" i="1" s="1"/>
  <c r="J85" i="1"/>
  <c r="I85" i="1"/>
  <c r="H85" i="1"/>
  <c r="P84" i="1"/>
  <c r="O84" i="1"/>
  <c r="Q84" i="1" s="1"/>
  <c r="J84" i="1"/>
  <c r="I84" i="1"/>
  <c r="H84" i="1"/>
  <c r="P83" i="1"/>
  <c r="O83" i="1"/>
  <c r="Q83" i="1" s="1"/>
  <c r="J83" i="1"/>
  <c r="I83" i="1"/>
  <c r="H83" i="1"/>
  <c r="P82" i="1"/>
  <c r="O82" i="1"/>
  <c r="Q82" i="1" s="1"/>
  <c r="J82" i="1"/>
  <c r="I82" i="1"/>
  <c r="H82" i="1"/>
  <c r="P81" i="1"/>
  <c r="O81" i="1"/>
  <c r="Q81" i="1" s="1"/>
  <c r="J81" i="1"/>
  <c r="I81" i="1"/>
  <c r="H81" i="1"/>
  <c r="P80" i="1"/>
  <c r="O80" i="1"/>
  <c r="Q80" i="1" s="1"/>
  <c r="J80" i="1"/>
  <c r="I80" i="1"/>
  <c r="H80" i="1"/>
  <c r="P79" i="1"/>
  <c r="O79" i="1"/>
  <c r="Q79" i="1" s="1"/>
  <c r="J79" i="1"/>
  <c r="I79" i="1"/>
  <c r="H79" i="1"/>
  <c r="P78" i="1"/>
  <c r="O78" i="1"/>
  <c r="Q78" i="1" s="1"/>
  <c r="J78" i="1"/>
  <c r="I78" i="1"/>
  <c r="H78" i="1"/>
  <c r="P77" i="1"/>
  <c r="O77" i="1"/>
  <c r="Q77" i="1" s="1"/>
  <c r="J77" i="1"/>
  <c r="I77" i="1"/>
  <c r="H77" i="1"/>
  <c r="P76" i="1"/>
  <c r="O76" i="1"/>
  <c r="Q76" i="1" s="1"/>
  <c r="J76" i="1"/>
  <c r="I76" i="1"/>
  <c r="H76" i="1"/>
  <c r="P75" i="1"/>
  <c r="O75" i="1"/>
  <c r="Q75" i="1" s="1"/>
  <c r="J75" i="1"/>
  <c r="I75" i="1"/>
  <c r="H75" i="1"/>
  <c r="P74" i="1"/>
  <c r="O74" i="1"/>
  <c r="Q74" i="1" s="1"/>
  <c r="J74" i="1"/>
  <c r="I74" i="1"/>
  <c r="H74" i="1"/>
  <c r="P73" i="1"/>
  <c r="O73" i="1"/>
  <c r="Q73" i="1" s="1"/>
  <c r="J73" i="1"/>
  <c r="I73" i="1"/>
  <c r="H73" i="1"/>
  <c r="P72" i="1"/>
  <c r="O72" i="1"/>
  <c r="Q72" i="1" s="1"/>
  <c r="J72" i="1"/>
  <c r="I72" i="1"/>
  <c r="H72" i="1"/>
  <c r="P71" i="1"/>
  <c r="O71" i="1"/>
  <c r="Q71" i="1" s="1"/>
  <c r="J71" i="1"/>
  <c r="I71" i="1"/>
  <c r="H71" i="1"/>
  <c r="P70" i="1"/>
  <c r="O70" i="1"/>
  <c r="Q70" i="1" s="1"/>
  <c r="J70" i="1"/>
  <c r="I70" i="1"/>
  <c r="H70" i="1"/>
  <c r="Q69" i="1"/>
  <c r="P69" i="1"/>
  <c r="O69" i="1"/>
  <c r="J69" i="1"/>
  <c r="I69" i="1"/>
  <c r="H69" i="1"/>
  <c r="P68" i="1"/>
  <c r="O68" i="1"/>
  <c r="Q68" i="1" s="1"/>
  <c r="J68" i="1"/>
  <c r="I68" i="1"/>
  <c r="H68" i="1"/>
  <c r="Q65" i="1"/>
  <c r="P65" i="1"/>
  <c r="O65" i="1"/>
  <c r="J65" i="1"/>
  <c r="I65" i="1"/>
  <c r="H65" i="1"/>
  <c r="P64" i="1"/>
  <c r="O64" i="1"/>
  <c r="Q64" i="1" s="1"/>
  <c r="J64" i="1"/>
  <c r="I64" i="1"/>
  <c r="H64" i="1"/>
  <c r="P63" i="1"/>
  <c r="O63" i="1"/>
  <c r="Q63" i="1" s="1"/>
  <c r="J63" i="1"/>
  <c r="I63" i="1"/>
  <c r="H63" i="1"/>
  <c r="P62" i="1"/>
  <c r="O62" i="1"/>
  <c r="Q62" i="1" s="1"/>
  <c r="J62" i="1"/>
  <c r="I62" i="1"/>
  <c r="H62" i="1"/>
  <c r="P61" i="1"/>
  <c r="O61" i="1"/>
  <c r="Q61" i="1" s="1"/>
  <c r="J61" i="1"/>
  <c r="I61" i="1"/>
  <c r="H61" i="1"/>
  <c r="P60" i="1"/>
  <c r="O60" i="1"/>
  <c r="Q60" i="1" s="1"/>
  <c r="J60" i="1"/>
  <c r="I60" i="1"/>
  <c r="H60" i="1"/>
  <c r="P59" i="1"/>
  <c r="J59" i="1"/>
  <c r="I59" i="1"/>
  <c r="H59" i="1"/>
  <c r="P58" i="1"/>
  <c r="O58" i="1"/>
  <c r="Q58" i="1" s="1"/>
  <c r="J58" i="1"/>
  <c r="I58" i="1"/>
  <c r="H58" i="1"/>
  <c r="P57" i="1"/>
  <c r="O57" i="1"/>
  <c r="Q57" i="1" s="1"/>
  <c r="J57" i="1"/>
  <c r="I57" i="1"/>
  <c r="H57" i="1"/>
  <c r="P56" i="1"/>
  <c r="O56" i="1"/>
  <c r="Q56" i="1" s="1"/>
  <c r="J56" i="1"/>
  <c r="I56" i="1"/>
  <c r="H56" i="1"/>
  <c r="P55" i="1"/>
  <c r="O55" i="1"/>
  <c r="Q55" i="1" s="1"/>
  <c r="J55" i="1"/>
  <c r="I55" i="1"/>
  <c r="H55" i="1"/>
  <c r="P53" i="1"/>
  <c r="O53" i="1"/>
  <c r="Q53" i="1" s="1"/>
  <c r="J53" i="1"/>
  <c r="I53" i="1"/>
  <c r="H53" i="1"/>
  <c r="P52" i="1"/>
  <c r="O52" i="1"/>
  <c r="Q52" i="1" s="1"/>
  <c r="J52" i="1"/>
  <c r="I52" i="1"/>
  <c r="H52" i="1"/>
  <c r="P51" i="1"/>
  <c r="O51" i="1"/>
  <c r="Q51" i="1" s="1"/>
  <c r="J51" i="1"/>
  <c r="I51" i="1"/>
  <c r="H51" i="1"/>
  <c r="P48" i="1"/>
  <c r="O48" i="1"/>
  <c r="Q48" i="1" s="1"/>
  <c r="J48" i="1"/>
  <c r="I48" i="1"/>
  <c r="H48" i="1"/>
  <c r="P66" i="1"/>
  <c r="O66" i="1"/>
  <c r="Q66" i="1" s="1"/>
  <c r="J66" i="1"/>
  <c r="I66" i="1"/>
  <c r="H66" i="1"/>
  <c r="P47" i="1"/>
  <c r="O47" i="1"/>
  <c r="Q47" i="1" s="1"/>
  <c r="J47" i="1"/>
  <c r="I47" i="1"/>
  <c r="H47" i="1"/>
  <c r="P46" i="1"/>
  <c r="J46" i="1"/>
  <c r="I46" i="1"/>
  <c r="H46" i="1"/>
  <c r="P45" i="1"/>
  <c r="O45" i="1"/>
  <c r="Q45" i="1" s="1"/>
  <c r="J45" i="1"/>
  <c r="I45" i="1"/>
  <c r="H45" i="1"/>
  <c r="P67" i="1"/>
  <c r="O67" i="1"/>
  <c r="Q67" i="1" s="1"/>
  <c r="J67" i="1"/>
  <c r="I67" i="1"/>
  <c r="H67" i="1"/>
  <c r="P44" i="1"/>
  <c r="O44" i="1"/>
  <c r="Q44" i="1" s="1"/>
  <c r="J44" i="1"/>
  <c r="I44" i="1"/>
  <c r="H44" i="1"/>
  <c r="P43" i="1"/>
  <c r="O43" i="1"/>
  <c r="Q43" i="1" s="1"/>
  <c r="J43" i="1"/>
  <c r="I43" i="1"/>
  <c r="H43" i="1"/>
  <c r="P42" i="1"/>
  <c r="O42" i="1"/>
  <c r="Q42" i="1" s="1"/>
  <c r="J42" i="1"/>
  <c r="I42" i="1"/>
  <c r="H42" i="1"/>
  <c r="P41" i="1"/>
  <c r="O41" i="1"/>
  <c r="Q41" i="1" s="1"/>
  <c r="J41" i="1"/>
  <c r="I41" i="1"/>
  <c r="H41" i="1"/>
  <c r="P39" i="1"/>
  <c r="O39" i="1"/>
  <c r="Q39" i="1" s="1"/>
  <c r="J39" i="1"/>
  <c r="I39" i="1"/>
  <c r="H39" i="1"/>
  <c r="P38" i="1"/>
  <c r="O38" i="1"/>
  <c r="Q38" i="1" s="1"/>
  <c r="J38" i="1"/>
  <c r="I38" i="1"/>
  <c r="H38" i="1"/>
  <c r="P37" i="1"/>
  <c r="O37" i="1"/>
  <c r="Q37" i="1" s="1"/>
  <c r="J37" i="1"/>
  <c r="I37" i="1"/>
  <c r="H37" i="1"/>
  <c r="P36" i="1"/>
  <c r="O36" i="1"/>
  <c r="Q36" i="1" s="1"/>
  <c r="J36" i="1"/>
  <c r="I36" i="1"/>
  <c r="H36" i="1"/>
  <c r="P35" i="1"/>
  <c r="O35" i="1"/>
  <c r="Q35" i="1" s="1"/>
  <c r="J35" i="1"/>
  <c r="I35" i="1"/>
  <c r="H35" i="1"/>
  <c r="P34" i="1"/>
  <c r="O34" i="1"/>
  <c r="Q34" i="1" s="1"/>
  <c r="J34" i="1"/>
  <c r="I34" i="1"/>
  <c r="H34" i="1"/>
  <c r="P32" i="1"/>
  <c r="O32" i="1"/>
  <c r="Q32" i="1" s="1"/>
  <c r="J32" i="1"/>
  <c r="I32" i="1"/>
  <c r="H32" i="1"/>
  <c r="P30" i="1"/>
  <c r="O30" i="1"/>
  <c r="Q30" i="1" s="1"/>
  <c r="J30" i="1"/>
  <c r="I30" i="1"/>
  <c r="H30" i="1"/>
  <c r="P29" i="1"/>
  <c r="O29" i="1"/>
  <c r="Q29" i="1" s="1"/>
  <c r="J29" i="1"/>
  <c r="I29" i="1"/>
  <c r="H29" i="1"/>
  <c r="P28" i="1"/>
  <c r="O28" i="1"/>
  <c r="Q28" i="1" s="1"/>
  <c r="J28" i="1"/>
  <c r="I28" i="1"/>
  <c r="H28" i="1"/>
  <c r="P27" i="1"/>
  <c r="O27" i="1"/>
  <c r="Q27" i="1" s="1"/>
  <c r="J27" i="1"/>
  <c r="I27" i="1"/>
  <c r="H27" i="1"/>
  <c r="P26" i="1"/>
  <c r="O26" i="1"/>
  <c r="Q26" i="1" s="1"/>
  <c r="J26" i="1"/>
  <c r="I26" i="1"/>
  <c r="H26" i="1"/>
  <c r="P25" i="1"/>
  <c r="O25" i="1"/>
  <c r="Q25" i="1" s="1"/>
  <c r="J25" i="1"/>
  <c r="I25" i="1"/>
  <c r="H25" i="1"/>
  <c r="P24" i="1"/>
  <c r="O24" i="1"/>
  <c r="Q24" i="1" s="1"/>
  <c r="J24" i="1"/>
  <c r="I24" i="1"/>
  <c r="H24" i="1"/>
  <c r="P23" i="1"/>
  <c r="O23" i="1"/>
  <c r="Q23" i="1" s="1"/>
  <c r="J23" i="1"/>
  <c r="I23" i="1"/>
  <c r="H23" i="1"/>
  <c r="P22" i="1"/>
  <c r="O22" i="1"/>
  <c r="Q22" i="1" s="1"/>
  <c r="J22" i="1"/>
  <c r="I22" i="1"/>
  <c r="H22" i="1"/>
  <c r="P21" i="1"/>
  <c r="O21" i="1"/>
  <c r="Q21" i="1" s="1"/>
  <c r="J21" i="1"/>
  <c r="I21" i="1"/>
  <c r="H21" i="1"/>
  <c r="P20" i="1"/>
  <c r="O20" i="1"/>
  <c r="Q20" i="1" s="1"/>
  <c r="J20" i="1"/>
  <c r="I20" i="1"/>
  <c r="H20" i="1"/>
  <c r="P19" i="1"/>
  <c r="O19" i="1"/>
  <c r="Q19" i="1" s="1"/>
  <c r="J19" i="1"/>
  <c r="I19" i="1"/>
  <c r="H19" i="1"/>
  <c r="P18" i="1"/>
  <c r="O18" i="1"/>
  <c r="Q18" i="1" s="1"/>
  <c r="J18" i="1"/>
  <c r="I18" i="1"/>
  <c r="H18" i="1"/>
  <c r="P17" i="1"/>
  <c r="O17" i="1"/>
  <c r="Q17" i="1" s="1"/>
  <c r="J17" i="1"/>
  <c r="I17" i="1"/>
  <c r="H17" i="1"/>
  <c r="P16" i="1"/>
  <c r="O16" i="1"/>
  <c r="Q16" i="1" s="1"/>
  <c r="J16" i="1"/>
  <c r="I16" i="1"/>
  <c r="H16" i="1"/>
  <c r="P15" i="1"/>
  <c r="O15" i="1"/>
  <c r="Q15" i="1" s="1"/>
  <c r="J15" i="1"/>
  <c r="I15" i="1"/>
  <c r="H15" i="1"/>
  <c r="P14" i="1"/>
  <c r="O14" i="1"/>
  <c r="Q14" i="1" s="1"/>
  <c r="J14" i="1"/>
  <c r="I14" i="1"/>
  <c r="H14" i="1"/>
  <c r="P13" i="1"/>
  <c r="O13" i="1"/>
  <c r="Q13" i="1" s="1"/>
  <c r="J13" i="1"/>
  <c r="I13" i="1"/>
  <c r="H13" i="1"/>
  <c r="P12" i="1"/>
  <c r="O12" i="1"/>
  <c r="Q12" i="1" s="1"/>
  <c r="J12" i="1"/>
  <c r="I12" i="1"/>
  <c r="H12" i="1"/>
  <c r="P11" i="1"/>
  <c r="O11" i="1"/>
  <c r="Q11" i="1" s="1"/>
  <c r="J11" i="1"/>
  <c r="I11" i="1"/>
  <c r="H11" i="1"/>
  <c r="P10" i="1"/>
  <c r="O10" i="1"/>
  <c r="Q10" i="1" s="1"/>
  <c r="J10" i="1"/>
  <c r="I10" i="1"/>
  <c r="H10" i="1"/>
  <c r="P9" i="1"/>
  <c r="O9" i="1"/>
  <c r="Q9" i="1" s="1"/>
  <c r="J9" i="1"/>
  <c r="I9" i="1"/>
  <c r="H9" i="1"/>
  <c r="P8" i="1"/>
  <c r="O8" i="1"/>
  <c r="Q8" i="1" s="1"/>
  <c r="J8" i="1"/>
  <c r="I8" i="1"/>
  <c r="H8" i="1"/>
  <c r="P7" i="1"/>
  <c r="O7" i="1"/>
  <c r="Q7" i="1" s="1"/>
  <c r="J7" i="1"/>
  <c r="I7" i="1"/>
  <c r="H7" i="1"/>
  <c r="P6" i="1"/>
  <c r="O6" i="1"/>
  <c r="Q6" i="1" s="1"/>
  <c r="J6" i="1"/>
  <c r="I6" i="1"/>
  <c r="H6" i="1"/>
  <c r="P5" i="1"/>
  <c r="O5" i="1"/>
  <c r="Q5" i="1" s="1"/>
  <c r="J5" i="1"/>
  <c r="I5" i="1"/>
  <c r="H5" i="1"/>
  <c r="P4" i="1"/>
  <c r="O4" i="1"/>
  <c r="Q4" i="1" s="1"/>
  <c r="J4" i="1"/>
  <c r="I4" i="1"/>
  <c r="H4" i="1"/>
  <c r="P3" i="1"/>
  <c r="O3" i="1"/>
  <c r="Q3" i="1" s="1"/>
  <c r="J3" i="1"/>
  <c r="I3" i="1"/>
  <c r="H3" i="1"/>
  <c r="O2" i="1"/>
  <c r="J2" i="1"/>
  <c r="I2" i="1"/>
  <c r="H2" i="1"/>
  <c r="O137" i="1" l="1"/>
  <c r="Q2" i="1"/>
  <c r="K54" i="1"/>
  <c r="K40" i="1"/>
  <c r="K49" i="1"/>
  <c r="K50" i="1"/>
  <c r="K31" i="1"/>
  <c r="K33" i="1"/>
  <c r="K131" i="1"/>
  <c r="K129" i="1"/>
  <c r="K133" i="1"/>
  <c r="K132" i="1"/>
  <c r="K123" i="1"/>
  <c r="K126" i="1"/>
  <c r="K125" i="1"/>
  <c r="K124" i="1"/>
  <c r="K128" i="1"/>
  <c r="K130" i="1"/>
  <c r="K127" i="1"/>
  <c r="K7" i="1"/>
  <c r="K15" i="1"/>
  <c r="K23" i="1"/>
  <c r="K32" i="1"/>
  <c r="K65" i="1"/>
  <c r="K95" i="1"/>
  <c r="K122" i="1"/>
  <c r="K27" i="1"/>
  <c r="K6" i="1"/>
  <c r="K14" i="1"/>
  <c r="K18" i="1"/>
  <c r="K22" i="1"/>
  <c r="K26" i="1"/>
  <c r="K30" i="1"/>
  <c r="K41" i="1"/>
  <c r="K66" i="1"/>
  <c r="K57" i="1"/>
  <c r="K61" i="1"/>
  <c r="K64" i="1"/>
  <c r="K72" i="1"/>
  <c r="K80" i="1"/>
  <c r="K116" i="1"/>
  <c r="K90" i="1"/>
  <c r="K94" i="1"/>
  <c r="K108" i="1"/>
  <c r="K111" i="1"/>
  <c r="K120" i="1"/>
  <c r="K13" i="1"/>
  <c r="K21" i="1"/>
  <c r="K29" i="1"/>
  <c r="K39" i="1"/>
  <c r="K52" i="1"/>
  <c r="K56" i="1"/>
  <c r="K63" i="1"/>
  <c r="K71" i="1"/>
  <c r="K82" i="1"/>
  <c r="K86" i="1"/>
  <c r="K93" i="1"/>
  <c r="K110" i="1"/>
  <c r="K4" i="1"/>
  <c r="K12" i="1"/>
  <c r="K16" i="1"/>
  <c r="K20" i="1"/>
  <c r="K38" i="1"/>
  <c r="K43" i="1"/>
  <c r="K46" i="1"/>
  <c r="K55" i="1"/>
  <c r="K70" i="1"/>
  <c r="K74" i="1"/>
  <c r="K78" i="1"/>
  <c r="K85" i="1"/>
  <c r="K102" i="1"/>
  <c r="K105" i="1"/>
  <c r="K118" i="1"/>
  <c r="K107" i="1"/>
  <c r="K117" i="1"/>
  <c r="K45" i="1"/>
  <c r="K62" i="1"/>
  <c r="K92" i="1"/>
  <c r="K119" i="1"/>
  <c r="K28" i="1"/>
  <c r="K77" i="1"/>
  <c r="K84" i="1"/>
  <c r="K91" i="1"/>
  <c r="K3" i="1"/>
  <c r="K8" i="1"/>
  <c r="K34" i="1"/>
  <c r="K44" i="1"/>
  <c r="K53" i="1"/>
  <c r="K58" i="1"/>
  <c r="K75" i="1"/>
  <c r="K83" i="1"/>
  <c r="K87" i="1"/>
  <c r="K96" i="1"/>
  <c r="K103" i="1"/>
  <c r="K2" i="1"/>
  <c r="K17" i="1"/>
  <c r="K47" i="1"/>
  <c r="K79" i="1"/>
  <c r="K11" i="1"/>
  <c r="K37" i="1"/>
  <c r="K69" i="1"/>
  <c r="K101" i="1"/>
  <c r="K5" i="1"/>
  <c r="K10" i="1"/>
  <c r="K25" i="1"/>
  <c r="K36" i="1"/>
  <c r="K42" i="1"/>
  <c r="K51" i="1"/>
  <c r="K60" i="1"/>
  <c r="K73" i="1"/>
  <c r="K81" i="1"/>
  <c r="K89" i="1"/>
  <c r="K98" i="1"/>
  <c r="K104" i="1"/>
  <c r="K134" i="1"/>
  <c r="K115" i="1"/>
  <c r="K9" i="1"/>
  <c r="K19" i="1"/>
  <c r="K24" i="1"/>
  <c r="K35" i="1"/>
  <c r="K67" i="1"/>
  <c r="K48" i="1"/>
  <c r="K59" i="1"/>
  <c r="K68" i="1"/>
  <c r="K76" i="1"/>
  <c r="K88" i="1"/>
  <c r="K97" i="1"/>
  <c r="K106" i="1"/>
  <c r="K109" i="1"/>
</calcChain>
</file>

<file path=xl/sharedStrings.xml><?xml version="1.0" encoding="utf-8"?>
<sst xmlns="http://schemas.openxmlformats.org/spreadsheetml/2006/main" count="560" uniqueCount="188">
  <si>
    <t>ID Gruppo</t>
  </si>
  <si>
    <t>Nome Gruppo</t>
  </si>
  <si>
    <t>Allenatore</t>
  </si>
  <si>
    <t>Atleta</t>
  </si>
  <si>
    <t>Contatto atleta</t>
  </si>
  <si>
    <t>Certificato medico (S/N)</t>
  </si>
  <si>
    <t>Scadenza certificato</t>
  </si>
  <si>
    <t>Presenze</t>
  </si>
  <si>
    <t>Assenze da recuperare</t>
  </si>
  <si>
    <t>Recuperi fatti</t>
  </si>
  <si>
    <t>Recuperi da programmare</t>
  </si>
  <si>
    <t>Quota totale stagione</t>
  </si>
  <si>
    <t>Quota associativa (una tantum)</t>
  </si>
  <si>
    <t>Quota pagata</t>
  </si>
  <si>
    <t>Saldo da pagare</t>
  </si>
  <si>
    <t>Semaforo certificato</t>
  </si>
  <si>
    <t>Semaforo pagamenti</t>
  </si>
  <si>
    <t>Gruppo 1</t>
  </si>
  <si>
    <t>Alberto Mantovani</t>
  </si>
  <si>
    <t>Damiano Maccacaro</t>
  </si>
  <si>
    <t>Nicola Baiocco</t>
  </si>
  <si>
    <t>Marco Pinelli</t>
  </si>
  <si>
    <t>Massimiliano Dorella</t>
  </si>
  <si>
    <t>Emilio Telluri</t>
  </si>
  <si>
    <t>Pulvini Matteo</t>
  </si>
  <si>
    <t>Cristian Costa</t>
  </si>
  <si>
    <t>Gruppo 2</t>
  </si>
  <si>
    <t>Cecilia Bertolo</t>
  </si>
  <si>
    <t>Serena Bellinazzi</t>
  </si>
  <si>
    <t>Desiree Mastrosimone</t>
  </si>
  <si>
    <t>Anita Conti</t>
  </si>
  <si>
    <t>Massimiliana Della Camera</t>
  </si>
  <si>
    <t>Valentina Pisani</t>
  </si>
  <si>
    <t>Silvia Romano</t>
  </si>
  <si>
    <t>Federica Cona</t>
  </si>
  <si>
    <t>Gruppo 3</t>
  </si>
  <si>
    <t>Matteo Bertani</t>
  </si>
  <si>
    <t>Agostino Cianciulli</t>
  </si>
  <si>
    <t>Roberto d’Intino</t>
  </si>
  <si>
    <t>Michele Olly Olivieri</t>
  </si>
  <si>
    <t>Eugenio Turri</t>
  </si>
  <si>
    <t>Damiano Trombin</t>
  </si>
  <si>
    <t>Gruppo 4</t>
  </si>
  <si>
    <t>Federica Maccadanza</t>
  </si>
  <si>
    <t>Francesca Basile</t>
  </si>
  <si>
    <t>Veronica Maccadanza</t>
  </si>
  <si>
    <t>Maria Berneri</t>
  </si>
  <si>
    <t>Stefania Prando Moglie Mattia</t>
  </si>
  <si>
    <t>Gruppo 5</t>
  </si>
  <si>
    <t>Mattia Morati</t>
  </si>
  <si>
    <t>Luigi Nardiello</t>
  </si>
  <si>
    <t>Marco Scherlich</t>
  </si>
  <si>
    <t>Alberto Turco</t>
  </si>
  <si>
    <t>Luca Bertoldo</t>
  </si>
  <si>
    <t>Omar Franzini</t>
  </si>
  <si>
    <t>Paolo Guglielmi</t>
  </si>
  <si>
    <t>Gruppo 6</t>
  </si>
  <si>
    <t>Emma Guiotto</t>
  </si>
  <si>
    <t>Giulia Adami</t>
  </si>
  <si>
    <t>Alberta Sgarbossa</t>
  </si>
  <si>
    <t>Giorgia Bellamoli</t>
  </si>
  <si>
    <t>Silvia Merzi</t>
  </si>
  <si>
    <t>Silvia Baggio</t>
  </si>
  <si>
    <t>Elena Strazzer</t>
  </si>
  <si>
    <t>Gruppo 7</t>
  </si>
  <si>
    <t>Lucia Anselmi</t>
  </si>
  <si>
    <t>Sara Stallone</t>
  </si>
  <si>
    <t>Mara Zimol</t>
  </si>
  <si>
    <t>Chiara Tessari</t>
  </si>
  <si>
    <t>Maddalena Moretto</t>
  </si>
  <si>
    <t>Gruppo 8</t>
  </si>
  <si>
    <t>Luca Alberti</t>
  </si>
  <si>
    <t>Francesco Martinelli</t>
  </si>
  <si>
    <t>Masca Nicola</t>
  </si>
  <si>
    <t>Eli Gammaitoni</t>
  </si>
  <si>
    <t>Enrico Sartori PIF</t>
  </si>
  <si>
    <t>Andrea Lorini</t>
  </si>
  <si>
    <t>Gruppo 9</t>
  </si>
  <si>
    <t>Paola Anselmi</t>
  </si>
  <si>
    <t>Anna Cona</t>
  </si>
  <si>
    <t>Gruppo 10</t>
  </si>
  <si>
    <t>Leonardo Ziviani</t>
  </si>
  <si>
    <t>Alessandro Avesani</t>
  </si>
  <si>
    <t>Matteo Signorini</t>
  </si>
  <si>
    <t>Andrea Mazzoni</t>
  </si>
  <si>
    <t>Domenico D'Alessandro</t>
  </si>
  <si>
    <t>Gruppo 11</t>
  </si>
  <si>
    <t>Linda Castagna PIF</t>
  </si>
  <si>
    <t>Barbara Ferrarini</t>
  </si>
  <si>
    <t>Mariella Ferroni</t>
  </si>
  <si>
    <t>Arianna Ferrari</t>
  </si>
  <si>
    <t>Federica De Paoli</t>
  </si>
  <si>
    <t>Lidia Appoloni</t>
  </si>
  <si>
    <t>Gruppo 12</t>
  </si>
  <si>
    <t>David Mancassola</t>
  </si>
  <si>
    <t>Davide Iamonte</t>
  </si>
  <si>
    <t>Andrea Cariglia</t>
  </si>
  <si>
    <t>Alberto Udali</t>
  </si>
  <si>
    <t>Gruppo 13</t>
  </si>
  <si>
    <t>Carlo Castelletti</t>
  </si>
  <si>
    <t>Jacopo Stern</t>
  </si>
  <si>
    <t>Mirko Monastero UniCredit</t>
  </si>
  <si>
    <t>Michele Nassetti amico Mirko</t>
  </si>
  <si>
    <t>Marco Cecchin amico Mirko</t>
  </si>
  <si>
    <t>Francesco Rigoni</t>
  </si>
  <si>
    <t>Mirko Santucci</t>
  </si>
  <si>
    <t>Lorenzo Ripamonti</t>
  </si>
  <si>
    <t>Gruppo 14</t>
  </si>
  <si>
    <t>Elisa Faraglia</t>
  </si>
  <si>
    <t>Valeria Marconi</t>
  </si>
  <si>
    <t>Eleonora Cesta</t>
  </si>
  <si>
    <t>Camilla Ederle</t>
  </si>
  <si>
    <t>Carla Zecchini</t>
  </si>
  <si>
    <t>Valentina Bernori</t>
  </si>
  <si>
    <t>Gruppo 15</t>
  </si>
  <si>
    <t>Elisabetta Marconi</t>
  </si>
  <si>
    <t>Eleonora Zanotel</t>
  </si>
  <si>
    <t>Alessia Turriziani</t>
  </si>
  <si>
    <t>Marta Morini</t>
  </si>
  <si>
    <t>Felicita Bogo</t>
  </si>
  <si>
    <t>Iolanda Altobelli</t>
  </si>
  <si>
    <t>Chiara Ferro</t>
  </si>
  <si>
    <t>Gruppo 16</t>
  </si>
  <si>
    <t>Federico Pastorello</t>
  </si>
  <si>
    <t>Carmine Ammirati</t>
  </si>
  <si>
    <t>Jordan Gamez</t>
  </si>
  <si>
    <t>Pietro Spiazzi</t>
  </si>
  <si>
    <t>Gruppo 17</t>
  </si>
  <si>
    <t>Angelo Bianchera</t>
  </si>
  <si>
    <t>Nicolò Giardini</t>
  </si>
  <si>
    <t>Mattia Rossi</t>
  </si>
  <si>
    <t>Luca Pizzini</t>
  </si>
  <si>
    <t>Antonio Marra (infermiere)</t>
  </si>
  <si>
    <t>Data</t>
  </si>
  <si>
    <t>Presente (S/N)</t>
  </si>
  <si>
    <t>Assenza da recuperare? (S/N)</t>
  </si>
  <si>
    <t>Data recupero</t>
  </si>
  <si>
    <t>Gruppo in cui recupera</t>
  </si>
  <si>
    <t>Note</t>
  </si>
  <si>
    <t>Giorno/Orario</t>
  </si>
  <si>
    <t>Posti disponibili</t>
  </si>
  <si>
    <t>Extra note</t>
  </si>
  <si>
    <t>Gruppo di origine</t>
  </si>
  <si>
    <t>Matteo Bosso</t>
  </si>
  <si>
    <t>Elena Colombi</t>
  </si>
  <si>
    <t>Davide Cagna</t>
  </si>
  <si>
    <t>Antonio Vespignani</t>
  </si>
  <si>
    <t>Federico Marcolini</t>
  </si>
  <si>
    <t>PAYPAL</t>
  </si>
  <si>
    <t>CASH OMAR</t>
  </si>
  <si>
    <t xml:space="preserve">CASH CAGNA </t>
  </si>
  <si>
    <t>Riccardo De Conti</t>
  </si>
  <si>
    <t>paypal - tesserato a corso iniziato</t>
  </si>
  <si>
    <t>Ciro Garofalo</t>
  </si>
  <si>
    <t>Gruppo Jolly</t>
  </si>
  <si>
    <t>Marta dal Pozzo</t>
  </si>
  <si>
    <t>Morena Dotti</t>
  </si>
  <si>
    <t>Davide Bertoldi</t>
  </si>
  <si>
    <t>satispay</t>
  </si>
  <si>
    <t>paypal</t>
  </si>
  <si>
    <t>Martina Palombo</t>
  </si>
  <si>
    <t>Arianna Belotti</t>
  </si>
  <si>
    <t>Enrico Pasotto</t>
  </si>
  <si>
    <t xml:space="preserve">altri pagamenti non bonif. </t>
  </si>
  <si>
    <t>Elisabetta Adami</t>
  </si>
  <si>
    <t>Daniele Errera</t>
  </si>
  <si>
    <t>bonifico</t>
  </si>
  <si>
    <t>Veronica Urbani</t>
  </si>
  <si>
    <t>non agonistico</t>
  </si>
  <si>
    <t>agonistico</t>
  </si>
  <si>
    <t>Assenze</t>
  </si>
  <si>
    <t>Andrea Simonetti</t>
  </si>
  <si>
    <t>Fabio Guarnati</t>
  </si>
  <si>
    <t>Giorgia Tessari</t>
  </si>
  <si>
    <t>Martina Turri</t>
  </si>
  <si>
    <t>Alessia Mazzi</t>
  </si>
  <si>
    <t>Marianna Cristanelli</t>
  </si>
  <si>
    <t>Irene Turrini</t>
  </si>
  <si>
    <t>Tea</t>
  </si>
  <si>
    <t>Sebastiano Scandola</t>
  </si>
  <si>
    <t>Marco Fidanzato Elena</t>
  </si>
  <si>
    <t>Giuseppe Milana</t>
  </si>
  <si>
    <t>CASH BOSSO</t>
  </si>
  <si>
    <t>Noemi Romano'</t>
  </si>
  <si>
    <t>Felix</t>
  </si>
  <si>
    <t>Roberto Righetti</t>
  </si>
  <si>
    <t>Andrea Tonolli</t>
  </si>
  <si>
    <t>bonifico - tesserato a corso iniziato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</si>
</sst>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64" fontId="1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14" fontId="0" fillId="4" borderId="0" xfId="0" applyNumberFormat="1" applyFill="1"/>
  </cellXfs>
  <cellStyles count="1">
    <cellStyle name="Normale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workbookViewId="0"/>
  </sheetViews>
  <sheetFormatPr defaultRowHeight="15" x14ac:dyDescent="0.25"/>
  <cols>
    <col min="1" max="1" width="6.7109375" customWidth="1"/>
    <col min="2" max="2" width="17.5703125" customWidth="1"/>
    <col min="3" max="3" width="17.7109375" customWidth="1"/>
    <col min="4" max="4" width="27.140625" customWidth="1"/>
    <col min="5" max="5" width="1.7109375" hidden="1" customWidth="1"/>
    <col min="6" max="6" width="33.28515625" customWidth="1"/>
    <col min="7" max="7" width="14.5703125" customWidth="1"/>
    <col min="8" max="8" width="12.7109375" hidden="1" customWidth="1"/>
    <col min="9" max="9" width="11.42578125" hidden="1" customWidth="1"/>
    <col min="10" max="10" width="15.140625" hidden="1" customWidth="1"/>
    <col min="11" max="11" width="18.85546875" hidden="1" customWidth="1"/>
    <col min="12" max="12" width="13.28515625" customWidth="1"/>
    <col min="13" max="13" width="12.28515625" customWidth="1"/>
    <col min="14" max="14" width="10.5703125" bestFit="1" customWidth="1"/>
    <col min="15" max="15" width="11.85546875" customWidth="1"/>
    <col min="16" max="16" width="11.140625" customWidth="1"/>
    <col min="17" max="17" width="11.7109375" customWidth="1"/>
    <col min="18" max="18" width="26" customWidth="1"/>
  </cols>
  <sheetData>
    <row r="1" spans="1:18" s="6" customFormat="1" ht="41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170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163</v>
      </c>
    </row>
    <row r="2" spans="1:18" x14ac:dyDescent="0.25">
      <c r="A2">
        <v>1</v>
      </c>
      <c r="B2" t="s">
        <v>17</v>
      </c>
      <c r="C2" t="s">
        <v>143</v>
      </c>
      <c r="D2" t="s">
        <v>18</v>
      </c>
      <c r="F2" t="s">
        <v>169</v>
      </c>
      <c r="G2" s="1">
        <v>46379</v>
      </c>
      <c r="H2">
        <f>COUNTIFS(Presenze!$D:$D,D2,Presenze!$E:$E,"S")</f>
        <v>0</v>
      </c>
      <c r="I2">
        <f>COUNTIFS(Presenze!$D:$D,D2,Presenze!$F:$F,"S")</f>
        <v>0</v>
      </c>
      <c r="J2">
        <f>COUNTIFS(Presenze!$D:$D,D2,Presenze!$G:$G,"&lt;&gt;")</f>
        <v>0</v>
      </c>
      <c r="K2">
        <f t="shared" ref="K2:K35" si="0">I2-J2</f>
        <v>0</v>
      </c>
      <c r="L2">
        <v>480</v>
      </c>
      <c r="M2">
        <v>15</v>
      </c>
      <c r="N2">
        <v>255</v>
      </c>
      <c r="O2" s="2">
        <f t="shared" ref="O2:O35" si="1">L2+M2-N2</f>
        <v>240</v>
      </c>
      <c r="P2" t="str">
        <f t="shared" ref="P2:P35" ca="1" si="2">IF(OR(F2="nessuno",F2=""),"🔴",IF(AND(OR(F2="agonistico",F2="non agonistico"),G2&lt;TODAY()),"🔴",IF(AND(OR(F2="agonistico",F2="non agonistico"),G2&lt;=TODAY()+30),"🟡","🟢")))</f>
        <v>🟢</v>
      </c>
      <c r="Q2" t="str">
        <f t="shared" ref="Q2:Q35" si="3">IF((L2+M2)&lt;=0,"🟢",IF(N2&lt;=0,"🔴",IF(O2&gt;0,"🟡","🟢")))</f>
        <v>🟡</v>
      </c>
    </row>
    <row r="3" spans="1:18" x14ac:dyDescent="0.25">
      <c r="A3">
        <v>1</v>
      </c>
      <c r="B3" t="s">
        <v>17</v>
      </c>
      <c r="C3" t="s">
        <v>143</v>
      </c>
      <c r="D3" t="s">
        <v>19</v>
      </c>
      <c r="F3" t="s">
        <v>168</v>
      </c>
      <c r="G3" s="1">
        <v>46346</v>
      </c>
      <c r="H3">
        <f>COUNTIFS(Presenze!$D:$D,D3,Presenze!$E:$E,"S")</f>
        <v>0</v>
      </c>
      <c r="I3">
        <f>COUNTIFS(Presenze!$D:$D,D3,Presenze!$F:$F,"S")</f>
        <v>0</v>
      </c>
      <c r="J3">
        <f>COUNTIFS(Presenze!$D:$D,D3,Presenze!$G:$G,"&lt;&gt;")</f>
        <v>0</v>
      </c>
      <c r="K3">
        <f t="shared" si="0"/>
        <v>0</v>
      </c>
      <c r="L3">
        <v>670</v>
      </c>
      <c r="M3">
        <v>15</v>
      </c>
      <c r="N3">
        <v>255</v>
      </c>
      <c r="O3" s="2">
        <f t="shared" si="1"/>
        <v>430</v>
      </c>
      <c r="P3" t="str">
        <f t="shared" ca="1" si="2"/>
        <v>🟢</v>
      </c>
      <c r="Q3" t="str">
        <f t="shared" si="3"/>
        <v>🟡</v>
      </c>
    </row>
    <row r="4" spans="1:18" x14ac:dyDescent="0.25">
      <c r="A4">
        <v>1</v>
      </c>
      <c r="B4" t="s">
        <v>17</v>
      </c>
      <c r="C4" t="s">
        <v>143</v>
      </c>
      <c r="D4" t="s">
        <v>20</v>
      </c>
      <c r="F4" t="s">
        <v>168</v>
      </c>
      <c r="G4" s="1">
        <v>46328</v>
      </c>
      <c r="H4">
        <f>COUNTIFS(Presenze!$D:$D,D4,Presenze!$E:$E,"S")</f>
        <v>0</v>
      </c>
      <c r="I4">
        <f>COUNTIFS(Presenze!$D:$D,D4,Presenze!$F:$F,"S")</f>
        <v>0</v>
      </c>
      <c r="J4">
        <f>COUNTIFS(Presenze!$D:$D,D4,Presenze!$G:$G,"&lt;&gt;")</f>
        <v>0</v>
      </c>
      <c r="K4">
        <f t="shared" si="0"/>
        <v>0</v>
      </c>
      <c r="L4">
        <v>480</v>
      </c>
      <c r="M4">
        <v>15</v>
      </c>
      <c r="N4">
        <v>255</v>
      </c>
      <c r="O4" s="2">
        <f t="shared" si="1"/>
        <v>240</v>
      </c>
      <c r="P4" t="str">
        <f t="shared" ca="1" si="2"/>
        <v>🟢</v>
      </c>
      <c r="Q4" t="str">
        <f t="shared" si="3"/>
        <v>🟡</v>
      </c>
    </row>
    <row r="5" spans="1:18" x14ac:dyDescent="0.25">
      <c r="A5">
        <v>1</v>
      </c>
      <c r="B5" t="s">
        <v>17</v>
      </c>
      <c r="C5" t="s">
        <v>143</v>
      </c>
      <c r="D5" t="s">
        <v>21</v>
      </c>
      <c r="F5" t="s">
        <v>169</v>
      </c>
      <c r="G5" s="1">
        <v>46308</v>
      </c>
      <c r="H5">
        <f>COUNTIFS(Presenze!$D:$D,D5,Presenze!$E:$E,"S")</f>
        <v>0</v>
      </c>
      <c r="I5">
        <f>COUNTIFS(Presenze!$D:$D,D5,Presenze!$F:$F,"S")</f>
        <v>0</v>
      </c>
      <c r="J5">
        <f>COUNTIFS(Presenze!$D:$D,D5,Presenze!$G:$G,"&lt;&gt;")</f>
        <v>0</v>
      </c>
      <c r="K5">
        <f t="shared" si="0"/>
        <v>0</v>
      </c>
      <c r="L5">
        <v>860</v>
      </c>
      <c r="M5">
        <v>15</v>
      </c>
      <c r="N5">
        <v>445</v>
      </c>
      <c r="O5" s="2">
        <f t="shared" si="1"/>
        <v>430</v>
      </c>
      <c r="P5" t="str">
        <f t="shared" ca="1" si="2"/>
        <v>🟢</v>
      </c>
      <c r="Q5" t="str">
        <f t="shared" si="3"/>
        <v>🟡</v>
      </c>
    </row>
    <row r="6" spans="1:18" x14ac:dyDescent="0.25">
      <c r="A6">
        <v>1</v>
      </c>
      <c r="B6" t="s">
        <v>17</v>
      </c>
      <c r="C6" t="s">
        <v>143</v>
      </c>
      <c r="D6" t="s">
        <v>22</v>
      </c>
      <c r="F6" t="s">
        <v>169</v>
      </c>
      <c r="G6" s="1">
        <v>46331</v>
      </c>
      <c r="H6">
        <f>COUNTIFS(Presenze!$D:$D,D6,Presenze!$E:$E,"S")</f>
        <v>0</v>
      </c>
      <c r="I6">
        <f>COUNTIFS(Presenze!$D:$D,D6,Presenze!$F:$F,"S")</f>
        <v>0</v>
      </c>
      <c r="J6">
        <f>COUNTIFS(Presenze!$D:$D,D6,Presenze!$G:$G,"&lt;&gt;")</f>
        <v>0</v>
      </c>
      <c r="K6">
        <f t="shared" si="0"/>
        <v>0</v>
      </c>
      <c r="L6">
        <v>670</v>
      </c>
      <c r="M6">
        <v>15</v>
      </c>
      <c r="N6">
        <v>445</v>
      </c>
      <c r="O6" s="2">
        <f t="shared" si="1"/>
        <v>240</v>
      </c>
      <c r="P6" t="str">
        <f t="shared" ca="1" si="2"/>
        <v>🟢</v>
      </c>
      <c r="Q6" t="str">
        <f t="shared" si="3"/>
        <v>🟡</v>
      </c>
      <c r="R6" t="s">
        <v>148</v>
      </c>
    </row>
    <row r="7" spans="1:18" x14ac:dyDescent="0.25">
      <c r="A7">
        <v>1</v>
      </c>
      <c r="B7" t="s">
        <v>17</v>
      </c>
      <c r="C7" t="s">
        <v>143</v>
      </c>
      <c r="D7" t="s">
        <v>23</v>
      </c>
      <c r="F7" t="s">
        <v>169</v>
      </c>
      <c r="G7" s="1">
        <v>46288</v>
      </c>
      <c r="H7">
        <f>COUNTIFS(Presenze!$D:$D,D7,Presenze!$E:$E,"S")</f>
        <v>0</v>
      </c>
      <c r="I7">
        <f>COUNTIFS(Presenze!$D:$D,D7,Presenze!$F:$F,"S")</f>
        <v>0</v>
      </c>
      <c r="J7">
        <f>COUNTIFS(Presenze!$D:$D,D7,Presenze!$G:$G,"&lt;&gt;")</f>
        <v>0</v>
      </c>
      <c r="K7">
        <f t="shared" si="0"/>
        <v>0</v>
      </c>
      <c r="L7">
        <v>480</v>
      </c>
      <c r="M7">
        <v>15</v>
      </c>
      <c r="N7">
        <v>255</v>
      </c>
      <c r="O7" s="2">
        <f t="shared" si="1"/>
        <v>240</v>
      </c>
      <c r="P7" t="str">
        <f t="shared" ca="1" si="2"/>
        <v>🟢</v>
      </c>
      <c r="Q7" t="str">
        <f t="shared" si="3"/>
        <v>🟡</v>
      </c>
    </row>
    <row r="8" spans="1:18" x14ac:dyDescent="0.25">
      <c r="A8">
        <v>1</v>
      </c>
      <c r="B8" t="s">
        <v>17</v>
      </c>
      <c r="C8" t="s">
        <v>143</v>
      </c>
      <c r="D8" t="s">
        <v>24</v>
      </c>
      <c r="F8" t="s">
        <v>169</v>
      </c>
      <c r="G8" s="1">
        <v>46346</v>
      </c>
      <c r="H8">
        <f>COUNTIFS(Presenze!$D:$D,D8,Presenze!$E:$E,"S")</f>
        <v>0</v>
      </c>
      <c r="I8">
        <f>COUNTIFS(Presenze!$D:$D,D8,Presenze!$F:$F,"S")</f>
        <v>0</v>
      </c>
      <c r="J8">
        <f>COUNTIFS(Presenze!$D:$D,D8,Presenze!$G:$G,"&lt;&gt;")</f>
        <v>0</v>
      </c>
      <c r="K8">
        <f t="shared" si="0"/>
        <v>0</v>
      </c>
      <c r="L8">
        <v>480</v>
      </c>
      <c r="M8">
        <v>15</v>
      </c>
      <c r="N8">
        <v>255</v>
      </c>
      <c r="O8" s="2">
        <f t="shared" si="1"/>
        <v>240</v>
      </c>
      <c r="P8" t="str">
        <f t="shared" ca="1" si="2"/>
        <v>🟢</v>
      </c>
      <c r="Q8" t="str">
        <f t="shared" si="3"/>
        <v>🟡</v>
      </c>
    </row>
    <row r="9" spans="1:18" x14ac:dyDescent="0.25">
      <c r="A9">
        <v>1</v>
      </c>
      <c r="B9" t="s">
        <v>17</v>
      </c>
      <c r="C9" t="s">
        <v>143</v>
      </c>
      <c r="D9" t="s">
        <v>25</v>
      </c>
      <c r="F9" t="s">
        <v>169</v>
      </c>
      <c r="G9" s="1">
        <v>46261</v>
      </c>
      <c r="H9">
        <f>COUNTIFS(Presenze!$D:$D,D9,Presenze!$E:$E,"S")</f>
        <v>0</v>
      </c>
      <c r="I9">
        <f>COUNTIFS(Presenze!$D:$D,D9,Presenze!$F:$F,"S")</f>
        <v>0</v>
      </c>
      <c r="J9">
        <f>COUNTIFS(Presenze!$D:$D,D9,Presenze!$G:$G,"&lt;&gt;")</f>
        <v>0</v>
      </c>
      <c r="K9">
        <f t="shared" si="0"/>
        <v>0</v>
      </c>
      <c r="L9">
        <v>480</v>
      </c>
      <c r="M9">
        <v>15</v>
      </c>
      <c r="N9">
        <v>255</v>
      </c>
      <c r="O9" s="2">
        <f t="shared" si="1"/>
        <v>240</v>
      </c>
      <c r="P9" t="str">
        <f t="shared" ca="1" si="2"/>
        <v>🟢</v>
      </c>
      <c r="Q9" t="str">
        <f t="shared" si="3"/>
        <v>🟡</v>
      </c>
    </row>
    <row r="10" spans="1:18" x14ac:dyDescent="0.25">
      <c r="A10">
        <v>2</v>
      </c>
      <c r="B10" t="s">
        <v>26</v>
      </c>
      <c r="C10" t="s">
        <v>144</v>
      </c>
      <c r="D10" t="s">
        <v>27</v>
      </c>
      <c r="F10" t="s">
        <v>169</v>
      </c>
      <c r="G10" s="1">
        <v>46357</v>
      </c>
      <c r="H10">
        <f>COUNTIFS(Presenze!$D:$D,D10,Presenze!$E:$E,"S")</f>
        <v>0</v>
      </c>
      <c r="I10">
        <f>COUNTIFS(Presenze!$D:$D,D10,Presenze!$F:$F,"S")</f>
        <v>0</v>
      </c>
      <c r="J10">
        <f>COUNTIFS(Presenze!$D:$D,D10,Presenze!$G:$G,"&lt;&gt;")</f>
        <v>0</v>
      </c>
      <c r="K10">
        <f t="shared" si="0"/>
        <v>0</v>
      </c>
      <c r="L10">
        <v>480</v>
      </c>
      <c r="M10">
        <v>15</v>
      </c>
      <c r="N10">
        <v>255</v>
      </c>
      <c r="O10" s="2">
        <f t="shared" si="1"/>
        <v>240</v>
      </c>
      <c r="P10" t="str">
        <f t="shared" ca="1" si="2"/>
        <v>🟢</v>
      </c>
      <c r="Q10" t="str">
        <f t="shared" si="3"/>
        <v>🟡</v>
      </c>
    </row>
    <row r="11" spans="1:18" x14ac:dyDescent="0.25">
      <c r="A11">
        <v>2</v>
      </c>
      <c r="B11" t="s">
        <v>26</v>
      </c>
      <c r="C11" t="s">
        <v>144</v>
      </c>
      <c r="D11" t="s">
        <v>28</v>
      </c>
      <c r="F11" t="s">
        <v>169</v>
      </c>
      <c r="G11" s="1">
        <v>46160</v>
      </c>
      <c r="H11">
        <f>COUNTIFS(Presenze!$D:$D,D11,Presenze!$E:$E,"S")</f>
        <v>0</v>
      </c>
      <c r="I11">
        <f>COUNTIFS(Presenze!$D:$D,D11,Presenze!$F:$F,"S")</f>
        <v>0</v>
      </c>
      <c r="J11">
        <f>COUNTIFS(Presenze!$D:$D,D11,Presenze!$G:$G,"&lt;&gt;")</f>
        <v>0</v>
      </c>
      <c r="K11">
        <f t="shared" si="0"/>
        <v>0</v>
      </c>
      <c r="L11">
        <v>480</v>
      </c>
      <c r="M11">
        <v>15</v>
      </c>
      <c r="N11">
        <v>255</v>
      </c>
      <c r="O11" s="2">
        <f t="shared" si="1"/>
        <v>240</v>
      </c>
      <c r="P11" t="str">
        <f t="shared" ca="1" si="2"/>
        <v>🟢</v>
      </c>
      <c r="Q11" t="str">
        <f t="shared" si="3"/>
        <v>🟡</v>
      </c>
    </row>
    <row r="12" spans="1:18" x14ac:dyDescent="0.25">
      <c r="A12">
        <v>2</v>
      </c>
      <c r="B12" t="s">
        <v>26</v>
      </c>
      <c r="C12" t="s">
        <v>144</v>
      </c>
      <c r="D12" t="s">
        <v>29</v>
      </c>
      <c r="F12" t="s">
        <v>169</v>
      </c>
      <c r="G12" s="1">
        <v>46009</v>
      </c>
      <c r="H12">
        <f>COUNTIFS(Presenze!$D:$D,D12,Presenze!$E:$E,"S")</f>
        <v>0</v>
      </c>
      <c r="I12">
        <f>COUNTIFS(Presenze!$D:$D,D12,Presenze!$F:$F,"S")</f>
        <v>0</v>
      </c>
      <c r="J12">
        <f>COUNTIFS(Presenze!$D:$D,D12,Presenze!$G:$G,"&lt;&gt;")</f>
        <v>0</v>
      </c>
      <c r="K12">
        <f t="shared" si="0"/>
        <v>0</v>
      </c>
      <c r="L12">
        <v>480</v>
      </c>
      <c r="M12">
        <v>15</v>
      </c>
      <c r="N12">
        <v>255</v>
      </c>
      <c r="O12" s="2">
        <f t="shared" si="1"/>
        <v>240</v>
      </c>
      <c r="P12" t="str">
        <f t="shared" ca="1" si="2"/>
        <v>🔴</v>
      </c>
      <c r="Q12" t="str">
        <f t="shared" si="3"/>
        <v>🟡</v>
      </c>
    </row>
    <row r="13" spans="1:18" x14ac:dyDescent="0.25">
      <c r="A13">
        <v>2</v>
      </c>
      <c r="B13" t="s">
        <v>26</v>
      </c>
      <c r="C13" t="s">
        <v>144</v>
      </c>
      <c r="D13" t="s">
        <v>30</v>
      </c>
      <c r="F13" t="s">
        <v>169</v>
      </c>
      <c r="G13" s="1">
        <v>46365</v>
      </c>
      <c r="H13">
        <f>COUNTIFS(Presenze!$D:$D,D13,Presenze!$E:$E,"S")</f>
        <v>0</v>
      </c>
      <c r="I13">
        <f>COUNTIFS(Presenze!$D:$D,D13,Presenze!$F:$F,"S")</f>
        <v>0</v>
      </c>
      <c r="J13">
        <f>COUNTIFS(Presenze!$D:$D,D13,Presenze!$G:$G,"&lt;&gt;")</f>
        <v>0</v>
      </c>
      <c r="K13">
        <f t="shared" si="0"/>
        <v>0</v>
      </c>
      <c r="L13">
        <v>480</v>
      </c>
      <c r="M13">
        <v>15</v>
      </c>
      <c r="N13">
        <v>255</v>
      </c>
      <c r="O13" s="2">
        <f t="shared" si="1"/>
        <v>240</v>
      </c>
      <c r="P13" t="str">
        <f t="shared" ca="1" si="2"/>
        <v>🟢</v>
      </c>
      <c r="Q13" t="str">
        <f t="shared" si="3"/>
        <v>🟡</v>
      </c>
    </row>
    <row r="14" spans="1:18" x14ac:dyDescent="0.25">
      <c r="A14">
        <v>2</v>
      </c>
      <c r="B14" t="s">
        <v>26</v>
      </c>
      <c r="C14" t="s">
        <v>144</v>
      </c>
      <c r="D14" t="s">
        <v>31</v>
      </c>
      <c r="F14" t="s">
        <v>169</v>
      </c>
      <c r="G14" s="1">
        <v>46325</v>
      </c>
      <c r="H14">
        <f>COUNTIFS(Presenze!$D:$D,D14,Presenze!$E:$E,"S")</f>
        <v>0</v>
      </c>
      <c r="I14">
        <f>COUNTIFS(Presenze!$D:$D,D14,Presenze!$F:$F,"S")</f>
        <v>0</v>
      </c>
      <c r="J14">
        <f>COUNTIFS(Presenze!$D:$D,D14,Presenze!$G:$G,"&lt;&gt;")</f>
        <v>0</v>
      </c>
      <c r="K14">
        <f t="shared" si="0"/>
        <v>0</v>
      </c>
      <c r="L14">
        <v>480</v>
      </c>
      <c r="M14">
        <v>15</v>
      </c>
      <c r="N14">
        <v>255</v>
      </c>
      <c r="O14" s="2">
        <f t="shared" si="1"/>
        <v>240</v>
      </c>
      <c r="P14" t="str">
        <f t="shared" ca="1" si="2"/>
        <v>🟢</v>
      </c>
      <c r="Q14" t="str">
        <f t="shared" si="3"/>
        <v>🟡</v>
      </c>
    </row>
    <row r="15" spans="1:18" x14ac:dyDescent="0.25">
      <c r="A15">
        <v>2</v>
      </c>
      <c r="B15" t="s">
        <v>26</v>
      </c>
      <c r="C15" t="s">
        <v>144</v>
      </c>
      <c r="D15" t="s">
        <v>32</v>
      </c>
      <c r="F15" t="s">
        <v>168</v>
      </c>
      <c r="G15" s="1">
        <v>46283</v>
      </c>
      <c r="H15">
        <f>COUNTIFS(Presenze!$D:$D,D15,Presenze!$E:$E,"S")</f>
        <v>0</v>
      </c>
      <c r="I15">
        <f>COUNTIFS(Presenze!$D:$D,D15,Presenze!$F:$F,"S")</f>
        <v>0</v>
      </c>
      <c r="J15">
        <f>COUNTIFS(Presenze!$D:$D,D15,Presenze!$G:$G,"&lt;&gt;")</f>
        <v>0</v>
      </c>
      <c r="K15">
        <f t="shared" si="0"/>
        <v>0</v>
      </c>
      <c r="L15">
        <v>480</v>
      </c>
      <c r="M15">
        <v>15</v>
      </c>
      <c r="N15">
        <v>255</v>
      </c>
      <c r="O15" s="2">
        <f t="shared" si="1"/>
        <v>240</v>
      </c>
      <c r="P15" t="str">
        <f t="shared" ca="1" si="2"/>
        <v>🟢</v>
      </c>
      <c r="Q15" t="str">
        <f t="shared" si="3"/>
        <v>🟡</v>
      </c>
    </row>
    <row r="16" spans="1:18" x14ac:dyDescent="0.25">
      <c r="A16">
        <v>2</v>
      </c>
      <c r="B16" t="s">
        <v>26</v>
      </c>
      <c r="C16" t="s">
        <v>144</v>
      </c>
      <c r="D16" t="s">
        <v>79</v>
      </c>
      <c r="F16" t="s">
        <v>169</v>
      </c>
      <c r="G16" s="1">
        <v>46286</v>
      </c>
      <c r="H16">
        <f>COUNTIFS(Presenze!$D:$D,D16,Presenze!$E:$E,"S")</f>
        <v>0</v>
      </c>
      <c r="I16">
        <f>COUNTIFS(Presenze!$D:$D,D16,Presenze!$F:$F,"S")</f>
        <v>0</v>
      </c>
      <c r="J16">
        <f>COUNTIFS(Presenze!$D:$D,D16,Presenze!$G:$G,"&lt;&gt;")</f>
        <v>0</v>
      </c>
      <c r="K16">
        <f t="shared" si="0"/>
        <v>0</v>
      </c>
      <c r="L16">
        <v>730</v>
      </c>
      <c r="M16">
        <v>15</v>
      </c>
      <c r="N16">
        <f>255+490</f>
        <v>745</v>
      </c>
      <c r="O16" s="2">
        <f t="shared" si="1"/>
        <v>0</v>
      </c>
      <c r="P16" t="str">
        <f t="shared" ca="1" si="2"/>
        <v>🟢</v>
      </c>
      <c r="Q16" t="str">
        <f t="shared" si="3"/>
        <v>🟢</v>
      </c>
      <c r="R16" t="s">
        <v>149</v>
      </c>
    </row>
    <row r="17" spans="1:18" x14ac:dyDescent="0.25">
      <c r="A17">
        <v>2</v>
      </c>
      <c r="B17" t="s">
        <v>26</v>
      </c>
      <c r="C17" t="s">
        <v>144</v>
      </c>
      <c r="D17" t="s">
        <v>34</v>
      </c>
      <c r="F17" t="s">
        <v>169</v>
      </c>
      <c r="G17" s="1">
        <v>46346</v>
      </c>
      <c r="H17">
        <f>COUNTIFS(Presenze!$D:$D,D17,Presenze!$E:$E,"S")</f>
        <v>0</v>
      </c>
      <c r="I17">
        <f>COUNTIFS(Presenze!$D:$D,D17,Presenze!$F:$F,"S")</f>
        <v>0</v>
      </c>
      <c r="J17">
        <f>COUNTIFS(Presenze!$D:$D,D17,Presenze!$G:$G,"&lt;&gt;")</f>
        <v>0</v>
      </c>
      <c r="K17">
        <f t="shared" si="0"/>
        <v>0</v>
      </c>
      <c r="L17">
        <v>860</v>
      </c>
      <c r="M17">
        <v>15</v>
      </c>
      <c r="N17">
        <v>445</v>
      </c>
      <c r="O17" s="2">
        <f t="shared" si="1"/>
        <v>430</v>
      </c>
      <c r="P17" t="str">
        <f t="shared" ca="1" si="2"/>
        <v>🟢</v>
      </c>
      <c r="Q17" t="str">
        <f t="shared" si="3"/>
        <v>🟡</v>
      </c>
    </row>
    <row r="18" spans="1:18" x14ac:dyDescent="0.25">
      <c r="A18">
        <v>3</v>
      </c>
      <c r="B18" t="s">
        <v>35</v>
      </c>
      <c r="C18" t="s">
        <v>143</v>
      </c>
      <c r="D18" t="s">
        <v>36</v>
      </c>
      <c r="F18" t="s">
        <v>169</v>
      </c>
      <c r="G18" s="1">
        <v>46394</v>
      </c>
      <c r="H18">
        <f>COUNTIFS(Presenze!$D:$D,D18,Presenze!$E:$E,"S")</f>
        <v>0</v>
      </c>
      <c r="I18">
        <f>COUNTIFS(Presenze!$D:$D,D18,Presenze!$F:$F,"S")</f>
        <v>0</v>
      </c>
      <c r="J18">
        <f>COUNTIFS(Presenze!$D:$D,D18,Presenze!$G:$G,"&lt;&gt;")</f>
        <v>0</v>
      </c>
      <c r="K18">
        <f t="shared" si="0"/>
        <v>0</v>
      </c>
      <c r="L18">
        <v>480</v>
      </c>
      <c r="M18">
        <v>15</v>
      </c>
      <c r="N18">
        <v>255</v>
      </c>
      <c r="O18" s="2">
        <f t="shared" si="1"/>
        <v>240</v>
      </c>
      <c r="P18" t="str">
        <f t="shared" ca="1" si="2"/>
        <v>🟢</v>
      </c>
      <c r="Q18" t="str">
        <f t="shared" si="3"/>
        <v>🟡</v>
      </c>
    </row>
    <row r="19" spans="1:18" x14ac:dyDescent="0.25">
      <c r="A19">
        <v>3</v>
      </c>
      <c r="B19" t="s">
        <v>35</v>
      </c>
      <c r="C19" t="s">
        <v>143</v>
      </c>
      <c r="D19" t="s">
        <v>37</v>
      </c>
      <c r="F19" t="s">
        <v>168</v>
      </c>
      <c r="G19" s="1">
        <v>46292</v>
      </c>
      <c r="H19">
        <f>COUNTIFS(Presenze!$D:$D,D19,Presenze!$E:$E,"S")</f>
        <v>0</v>
      </c>
      <c r="I19">
        <f>COUNTIFS(Presenze!$D:$D,D19,Presenze!$F:$F,"S")</f>
        <v>0</v>
      </c>
      <c r="J19">
        <f>COUNTIFS(Presenze!$D:$D,D19,Presenze!$G:$G,"&lt;&gt;")</f>
        <v>0</v>
      </c>
      <c r="K19">
        <f t="shared" si="0"/>
        <v>0</v>
      </c>
      <c r="L19">
        <v>860</v>
      </c>
      <c r="M19">
        <v>15</v>
      </c>
      <c r="N19">
        <v>445</v>
      </c>
      <c r="O19" s="2">
        <f t="shared" si="1"/>
        <v>430</v>
      </c>
      <c r="P19" t="str">
        <f t="shared" ca="1" si="2"/>
        <v>🟢</v>
      </c>
      <c r="Q19" t="str">
        <f t="shared" si="3"/>
        <v>🟡</v>
      </c>
    </row>
    <row r="20" spans="1:18" x14ac:dyDescent="0.25">
      <c r="A20">
        <v>3</v>
      </c>
      <c r="B20" t="s">
        <v>35</v>
      </c>
      <c r="C20" t="s">
        <v>143</v>
      </c>
      <c r="D20" t="s">
        <v>171</v>
      </c>
      <c r="G20" s="1"/>
      <c r="H20">
        <f>COUNTIFS(Presenze!$D:$D,D20,Presenze!$E:$E,"S")</f>
        <v>0</v>
      </c>
      <c r="I20">
        <f>COUNTIFS(Presenze!$D:$D,D20,Presenze!$F:$F,"S")</f>
        <v>0</v>
      </c>
      <c r="J20">
        <f>COUNTIFS(Presenze!$D:$D,D20,Presenze!$G:$G,"&lt;&gt;")</f>
        <v>0</v>
      </c>
      <c r="K20">
        <f t="shared" si="0"/>
        <v>0</v>
      </c>
      <c r="L20">
        <v>480</v>
      </c>
      <c r="M20">
        <v>15</v>
      </c>
      <c r="N20">
        <v>255</v>
      </c>
      <c r="O20" s="2">
        <f t="shared" si="1"/>
        <v>240</v>
      </c>
      <c r="P20" t="str">
        <f t="shared" ca="1" si="2"/>
        <v>🔴</v>
      </c>
      <c r="Q20" t="str">
        <f t="shared" si="3"/>
        <v>🟡</v>
      </c>
    </row>
    <row r="21" spans="1:18" x14ac:dyDescent="0.25">
      <c r="A21">
        <v>3</v>
      </c>
      <c r="B21" t="s">
        <v>35</v>
      </c>
      <c r="C21" t="s">
        <v>143</v>
      </c>
      <c r="D21" t="s">
        <v>38</v>
      </c>
      <c r="F21" t="s">
        <v>168</v>
      </c>
      <c r="G21" s="1">
        <v>46318</v>
      </c>
      <c r="H21">
        <f>COUNTIFS(Presenze!$D:$D,D21,Presenze!$E:$E,"S")</f>
        <v>0</v>
      </c>
      <c r="I21">
        <f>COUNTIFS(Presenze!$D:$D,D21,Presenze!$F:$F,"S")</f>
        <v>0</v>
      </c>
      <c r="J21">
        <f>COUNTIFS(Presenze!$D:$D,D21,Presenze!$G:$G,"&lt;&gt;")</f>
        <v>0</v>
      </c>
      <c r="K21">
        <f t="shared" si="0"/>
        <v>0</v>
      </c>
      <c r="L21">
        <v>480</v>
      </c>
      <c r="M21">
        <v>15</v>
      </c>
      <c r="N21">
        <v>255</v>
      </c>
      <c r="O21" s="2">
        <f t="shared" si="1"/>
        <v>240</v>
      </c>
      <c r="P21" t="str">
        <f t="shared" ca="1" si="2"/>
        <v>🟢</v>
      </c>
      <c r="Q21" t="str">
        <f t="shared" si="3"/>
        <v>🟡</v>
      </c>
    </row>
    <row r="22" spans="1:18" x14ac:dyDescent="0.25">
      <c r="A22">
        <v>3</v>
      </c>
      <c r="B22" t="s">
        <v>35</v>
      </c>
      <c r="C22" t="s">
        <v>143</v>
      </c>
      <c r="D22" t="s">
        <v>147</v>
      </c>
      <c r="F22" t="s">
        <v>168</v>
      </c>
      <c r="G22" s="1">
        <v>46158</v>
      </c>
      <c r="H22">
        <f>COUNTIFS(Presenze!$D:$D,D22,Presenze!$E:$E,"S")</f>
        <v>0</v>
      </c>
      <c r="I22">
        <f>COUNTIFS(Presenze!$D:$D,D22,Presenze!$F:$F,"S")</f>
        <v>0</v>
      </c>
      <c r="J22">
        <f>COUNTIFS(Presenze!$D:$D,D22,Presenze!$G:$G,"&lt;&gt;")</f>
        <v>0</v>
      </c>
      <c r="K22">
        <f t="shared" si="0"/>
        <v>0</v>
      </c>
      <c r="L22">
        <v>480</v>
      </c>
      <c r="M22">
        <v>15</v>
      </c>
      <c r="N22">
        <v>255</v>
      </c>
      <c r="O22" s="2">
        <f t="shared" si="1"/>
        <v>240</v>
      </c>
      <c r="P22" t="str">
        <f t="shared" ca="1" si="2"/>
        <v>🟢</v>
      </c>
      <c r="Q22" t="str">
        <f t="shared" si="3"/>
        <v>🟡</v>
      </c>
    </row>
    <row r="23" spans="1:18" x14ac:dyDescent="0.25">
      <c r="A23">
        <v>3</v>
      </c>
      <c r="B23" t="s">
        <v>35</v>
      </c>
      <c r="C23" t="s">
        <v>143</v>
      </c>
      <c r="D23" t="s">
        <v>39</v>
      </c>
      <c r="H23">
        <f>COUNTIFS(Presenze!$D:$D,D23,Presenze!$E:$E,"S")</f>
        <v>0</v>
      </c>
      <c r="I23">
        <f>COUNTIFS(Presenze!$D:$D,D23,Presenze!$F:$F,"S")</f>
        <v>0</v>
      </c>
      <c r="J23">
        <f>COUNTIFS(Presenze!$D:$D,D23,Presenze!$G:$G,"&lt;&gt;")</f>
        <v>0</v>
      </c>
      <c r="K23">
        <f t="shared" si="0"/>
        <v>0</v>
      </c>
      <c r="L23">
        <v>360</v>
      </c>
      <c r="M23">
        <v>15</v>
      </c>
      <c r="N23">
        <v>135</v>
      </c>
      <c r="O23" s="2">
        <f t="shared" si="1"/>
        <v>240</v>
      </c>
      <c r="P23" t="str">
        <f t="shared" ca="1" si="2"/>
        <v>🔴</v>
      </c>
      <c r="Q23" t="str">
        <f t="shared" si="3"/>
        <v>🟡</v>
      </c>
      <c r="R23" t="s">
        <v>182</v>
      </c>
    </row>
    <row r="24" spans="1:18" x14ac:dyDescent="0.25">
      <c r="A24">
        <v>3</v>
      </c>
      <c r="B24" t="s">
        <v>35</v>
      </c>
      <c r="C24" t="s">
        <v>143</v>
      </c>
      <c r="D24" t="s">
        <v>40</v>
      </c>
      <c r="F24" t="s">
        <v>169</v>
      </c>
      <c r="G24" s="1">
        <v>46323</v>
      </c>
      <c r="H24">
        <f>COUNTIFS(Presenze!$D:$D,D24,Presenze!$E:$E,"S")</f>
        <v>0</v>
      </c>
      <c r="I24">
        <f>COUNTIFS(Presenze!$D:$D,D24,Presenze!$F:$F,"S")</f>
        <v>0</v>
      </c>
      <c r="J24">
        <f>COUNTIFS(Presenze!$D:$D,D24,Presenze!$G:$G,"&lt;&gt;")</f>
        <v>0</v>
      </c>
      <c r="K24">
        <f t="shared" si="0"/>
        <v>0</v>
      </c>
      <c r="L24">
        <v>480</v>
      </c>
      <c r="M24">
        <v>15</v>
      </c>
      <c r="N24">
        <v>255</v>
      </c>
      <c r="O24" s="2">
        <f t="shared" si="1"/>
        <v>240</v>
      </c>
      <c r="P24" t="str">
        <f t="shared" ca="1" si="2"/>
        <v>🟢</v>
      </c>
      <c r="Q24" t="str">
        <f t="shared" si="3"/>
        <v>🟡</v>
      </c>
      <c r="R24" t="s">
        <v>149</v>
      </c>
    </row>
    <row r="25" spans="1:18" x14ac:dyDescent="0.25">
      <c r="A25">
        <v>3</v>
      </c>
      <c r="B25" t="s">
        <v>35</v>
      </c>
      <c r="C25" t="s">
        <v>143</v>
      </c>
      <c r="D25" t="s">
        <v>123</v>
      </c>
      <c r="F25" t="s">
        <v>168</v>
      </c>
      <c r="G25" s="1">
        <v>46332</v>
      </c>
      <c r="H25">
        <f>COUNTIFS(Presenze!$D:$D,D25,Presenze!$E:$E,"S")</f>
        <v>0</v>
      </c>
      <c r="I25">
        <f>COUNTIFS(Presenze!$D:$D,D25,Presenze!$F:$F,"S")</f>
        <v>0</v>
      </c>
      <c r="J25">
        <f>COUNTIFS(Presenze!$D:$D,D25,Presenze!$G:$G,"&lt;&gt;")</f>
        <v>0</v>
      </c>
      <c r="K25">
        <f t="shared" si="0"/>
        <v>0</v>
      </c>
      <c r="L25">
        <v>480</v>
      </c>
      <c r="M25">
        <v>15</v>
      </c>
      <c r="N25">
        <v>255</v>
      </c>
      <c r="O25" s="2">
        <f t="shared" si="1"/>
        <v>240</v>
      </c>
      <c r="P25" t="str">
        <f t="shared" ca="1" si="2"/>
        <v>🟢</v>
      </c>
      <c r="Q25" t="str">
        <f t="shared" si="3"/>
        <v>🟡</v>
      </c>
    </row>
    <row r="26" spans="1:18" x14ac:dyDescent="0.25">
      <c r="A26">
        <v>4</v>
      </c>
      <c r="B26" t="s">
        <v>42</v>
      </c>
      <c r="C26" t="s">
        <v>144</v>
      </c>
      <c r="D26" t="s">
        <v>43</v>
      </c>
      <c r="F26" t="s">
        <v>169</v>
      </c>
      <c r="G26" s="1">
        <v>46304</v>
      </c>
      <c r="H26">
        <f>COUNTIFS(Presenze!$D:$D,D26,Presenze!$E:$E,"S")</f>
        <v>0</v>
      </c>
      <c r="I26">
        <f>COUNTIFS(Presenze!$D:$D,D26,Presenze!$F:$F,"S")</f>
        <v>0</v>
      </c>
      <c r="J26">
        <f>COUNTIFS(Presenze!$D:$D,D26,Presenze!$G:$G,"&lt;&gt;")</f>
        <v>0</v>
      </c>
      <c r="K26">
        <f t="shared" si="0"/>
        <v>0</v>
      </c>
      <c r="L26">
        <v>480</v>
      </c>
      <c r="M26">
        <v>15</v>
      </c>
      <c r="N26">
        <v>255</v>
      </c>
      <c r="O26" s="2">
        <f t="shared" si="1"/>
        <v>240</v>
      </c>
      <c r="P26" t="str">
        <f t="shared" ca="1" si="2"/>
        <v>🟢</v>
      </c>
      <c r="Q26" t="str">
        <f t="shared" si="3"/>
        <v>🟡</v>
      </c>
    </row>
    <row r="27" spans="1:18" x14ac:dyDescent="0.25">
      <c r="A27">
        <v>4</v>
      </c>
      <c r="B27" t="s">
        <v>42</v>
      </c>
      <c r="C27" t="s">
        <v>144</v>
      </c>
      <c r="D27" t="s">
        <v>44</v>
      </c>
      <c r="H27">
        <f>COUNTIFS(Presenze!$D:$D,D27,Presenze!$E:$E,"S")</f>
        <v>0</v>
      </c>
      <c r="I27">
        <f>COUNTIFS(Presenze!$D:$D,D27,Presenze!$F:$F,"S")</f>
        <v>0</v>
      </c>
      <c r="J27">
        <f>COUNTIFS(Presenze!$D:$D,D27,Presenze!$G:$G,"&lt;&gt;")</f>
        <v>0</v>
      </c>
      <c r="K27">
        <f t="shared" si="0"/>
        <v>0</v>
      </c>
      <c r="L27">
        <v>480</v>
      </c>
      <c r="M27">
        <v>15</v>
      </c>
      <c r="N27">
        <v>255</v>
      </c>
      <c r="O27" s="2">
        <f t="shared" si="1"/>
        <v>240</v>
      </c>
      <c r="P27" t="str">
        <f t="shared" ca="1" si="2"/>
        <v>🔴</v>
      </c>
      <c r="Q27" t="str">
        <f t="shared" si="3"/>
        <v>🟡</v>
      </c>
    </row>
    <row r="28" spans="1:18" x14ac:dyDescent="0.25">
      <c r="A28">
        <v>4</v>
      </c>
      <c r="B28" t="s">
        <v>42</v>
      </c>
      <c r="C28" t="s">
        <v>144</v>
      </c>
      <c r="D28" t="s">
        <v>45</v>
      </c>
      <c r="F28" t="s">
        <v>169</v>
      </c>
      <c r="G28" s="1">
        <v>46283</v>
      </c>
      <c r="H28">
        <f>COUNTIFS(Presenze!$D:$D,D28,Presenze!$E:$E,"S")</f>
        <v>0</v>
      </c>
      <c r="I28">
        <f>COUNTIFS(Presenze!$D:$D,D28,Presenze!$F:$F,"S")</f>
        <v>0</v>
      </c>
      <c r="J28">
        <f>COUNTIFS(Presenze!$D:$D,D28,Presenze!$G:$G,"&lt;&gt;")</f>
        <v>0</v>
      </c>
      <c r="K28">
        <f t="shared" si="0"/>
        <v>0</v>
      </c>
      <c r="L28">
        <v>480</v>
      </c>
      <c r="M28">
        <v>15</v>
      </c>
      <c r="N28">
        <v>255</v>
      </c>
      <c r="O28" s="2">
        <f t="shared" si="1"/>
        <v>240</v>
      </c>
      <c r="P28" t="str">
        <f t="shared" ca="1" si="2"/>
        <v>🟢</v>
      </c>
      <c r="Q28" t="str">
        <f t="shared" si="3"/>
        <v>🟡</v>
      </c>
    </row>
    <row r="29" spans="1:18" x14ac:dyDescent="0.25">
      <c r="A29">
        <v>4</v>
      </c>
      <c r="B29" t="s">
        <v>42</v>
      </c>
      <c r="C29" t="s">
        <v>144</v>
      </c>
      <c r="D29" t="s">
        <v>108</v>
      </c>
      <c r="F29" t="s">
        <v>168</v>
      </c>
      <c r="G29" s="1">
        <v>46294</v>
      </c>
      <c r="H29">
        <f>COUNTIFS(Presenze!$D:$D,D29,Presenze!$E:$E,"S")</f>
        <v>0</v>
      </c>
      <c r="I29">
        <f>COUNTIFS(Presenze!$D:$D,D29,Presenze!$F:$F,"S")</f>
        <v>0</v>
      </c>
      <c r="J29">
        <f>COUNTIFS(Presenze!$D:$D,D29,Presenze!$G:$G,"&lt;&gt;")</f>
        <v>0</v>
      </c>
      <c r="K29">
        <f t="shared" si="0"/>
        <v>0</v>
      </c>
      <c r="L29">
        <v>480</v>
      </c>
      <c r="M29">
        <v>15</v>
      </c>
      <c r="N29">
        <v>255</v>
      </c>
      <c r="O29" s="2">
        <f t="shared" si="1"/>
        <v>240</v>
      </c>
      <c r="P29" t="str">
        <f t="shared" ca="1" si="2"/>
        <v>🟢</v>
      </c>
      <c r="Q29" t="str">
        <f t="shared" si="3"/>
        <v>🟡</v>
      </c>
    </row>
    <row r="30" spans="1:18" x14ac:dyDescent="0.25">
      <c r="A30">
        <v>4</v>
      </c>
      <c r="B30" t="s">
        <v>42</v>
      </c>
      <c r="C30" t="s">
        <v>144</v>
      </c>
      <c r="D30" t="s">
        <v>47</v>
      </c>
      <c r="F30" t="s">
        <v>169</v>
      </c>
      <c r="G30" s="1">
        <v>46042</v>
      </c>
      <c r="H30">
        <f>COUNTIFS(Presenze!$D:$D,D30,Presenze!$E:$E,"S")</f>
        <v>0</v>
      </c>
      <c r="I30">
        <f>COUNTIFS(Presenze!$D:$D,D30,Presenze!$F:$F,"S")</f>
        <v>0</v>
      </c>
      <c r="J30">
        <f>COUNTIFS(Presenze!$D:$D,D30,Presenze!$G:$G,"&lt;&gt;")</f>
        <v>0</v>
      </c>
      <c r="K30">
        <f t="shared" si="0"/>
        <v>0</v>
      </c>
      <c r="L30">
        <v>480</v>
      </c>
      <c r="M30">
        <v>15</v>
      </c>
      <c r="N30">
        <v>255</v>
      </c>
      <c r="O30" s="2">
        <f t="shared" si="1"/>
        <v>240</v>
      </c>
      <c r="P30" t="str">
        <f t="shared" ca="1" si="2"/>
        <v>🟡</v>
      </c>
      <c r="Q30" t="str">
        <f t="shared" si="3"/>
        <v>🟡</v>
      </c>
    </row>
    <row r="31" spans="1:18" x14ac:dyDescent="0.25">
      <c r="A31">
        <v>4</v>
      </c>
      <c r="B31" t="s">
        <v>42</v>
      </c>
      <c r="C31" t="s">
        <v>144</v>
      </c>
      <c r="D31" t="s">
        <v>113</v>
      </c>
      <c r="F31" t="s">
        <v>169</v>
      </c>
      <c r="G31" s="1">
        <v>46258</v>
      </c>
      <c r="H31">
        <f>COUNTIFS(Presenze!$D:$D,D31,Presenze!$E:$E,"S")</f>
        <v>0</v>
      </c>
      <c r="I31">
        <f>COUNTIFS(Presenze!$D:$D,D31,Presenze!$F:$F,"S")</f>
        <v>0</v>
      </c>
      <c r="J31">
        <f>COUNTIFS(Presenze!$D:$D,D31,Presenze!$G:$G,"&lt;&gt;")</f>
        <v>0</v>
      </c>
      <c r="K31">
        <f t="shared" si="0"/>
        <v>0</v>
      </c>
      <c r="L31">
        <v>480</v>
      </c>
      <c r="M31">
        <v>15</v>
      </c>
      <c r="N31">
        <v>255</v>
      </c>
      <c r="O31" s="2">
        <f t="shared" si="1"/>
        <v>240</v>
      </c>
      <c r="P31" t="str">
        <f t="shared" ca="1" si="2"/>
        <v>🟢</v>
      </c>
      <c r="Q31" t="str">
        <f t="shared" si="3"/>
        <v>🟡</v>
      </c>
    </row>
    <row r="32" spans="1:18" x14ac:dyDescent="0.25">
      <c r="A32">
        <v>4</v>
      </c>
      <c r="B32" t="s">
        <v>42</v>
      </c>
      <c r="C32" t="s">
        <v>144</v>
      </c>
      <c r="D32" t="s">
        <v>109</v>
      </c>
      <c r="F32" t="s">
        <v>169</v>
      </c>
      <c r="G32" s="1">
        <v>46106</v>
      </c>
      <c r="H32">
        <f>COUNTIFS(Presenze!$D:$D,D32,Presenze!$E:$E,"S")</f>
        <v>0</v>
      </c>
      <c r="I32">
        <f>COUNTIFS(Presenze!$D:$D,D32,Presenze!$F:$F,"S")</f>
        <v>0</v>
      </c>
      <c r="J32">
        <f>COUNTIFS(Presenze!$D:$D,D32,Presenze!$G:$G,"&lt;&gt;")</f>
        <v>0</v>
      </c>
      <c r="K32">
        <f t="shared" si="0"/>
        <v>0</v>
      </c>
      <c r="L32">
        <v>315</v>
      </c>
      <c r="M32">
        <v>15</v>
      </c>
      <c r="N32">
        <v>90</v>
      </c>
      <c r="O32" s="2">
        <f t="shared" si="1"/>
        <v>240</v>
      </c>
      <c r="P32" t="str">
        <f t="shared" ca="1" si="2"/>
        <v>🟢</v>
      </c>
      <c r="Q32" t="str">
        <f t="shared" si="3"/>
        <v>🟡</v>
      </c>
    </row>
    <row r="33" spans="1:18" x14ac:dyDescent="0.25">
      <c r="A33">
        <v>4</v>
      </c>
      <c r="B33" t="s">
        <v>42</v>
      </c>
      <c r="C33" t="s">
        <v>144</v>
      </c>
      <c r="D33" t="s">
        <v>111</v>
      </c>
      <c r="F33" t="s">
        <v>169</v>
      </c>
      <c r="G33" s="1">
        <v>46301</v>
      </c>
      <c r="H33">
        <f>COUNTIFS(Presenze!$D:$D,D33,Presenze!$E:$E,"S")</f>
        <v>0</v>
      </c>
      <c r="I33">
        <f>COUNTIFS(Presenze!$D:$D,D33,Presenze!$F:$F,"S")</f>
        <v>0</v>
      </c>
      <c r="J33">
        <f>COUNTIFS(Presenze!$D:$D,D33,Presenze!$G:$G,"&lt;&gt;")</f>
        <v>0</v>
      </c>
      <c r="K33">
        <f t="shared" ref="K33" si="4">I33-J33</f>
        <v>0</v>
      </c>
      <c r="L33">
        <v>480</v>
      </c>
      <c r="M33">
        <v>15</v>
      </c>
      <c r="N33">
        <v>255</v>
      </c>
      <c r="O33" s="2">
        <f t="shared" ref="O33" si="5">L33+M33-N33</f>
        <v>240</v>
      </c>
      <c r="P33" t="str">
        <f t="shared" ref="P33" ca="1" si="6">IF(OR(F33="nessuno",F33=""),"🔴",IF(AND(OR(F33="agonistico",F33="non agonistico"),G33&lt;TODAY()),"🔴",IF(AND(OR(F33="agonistico",F33="non agonistico"),G33&lt;=TODAY()+30),"🟡","🟢")))</f>
        <v>🟢</v>
      </c>
      <c r="Q33" t="str">
        <f t="shared" ref="Q33" si="7">IF((L33+M33)&lt;=0,"🟢",IF(N33&lt;=0,"🔴",IF(O33&gt;0,"🟡","🟢")))</f>
        <v>🟡</v>
      </c>
    </row>
    <row r="34" spans="1:18" x14ac:dyDescent="0.25">
      <c r="A34">
        <v>5</v>
      </c>
      <c r="B34" t="s">
        <v>48</v>
      </c>
      <c r="C34" t="s">
        <v>143</v>
      </c>
      <c r="D34" t="s">
        <v>49</v>
      </c>
      <c r="F34" t="s">
        <v>169</v>
      </c>
      <c r="G34" s="1">
        <v>46343</v>
      </c>
      <c r="H34">
        <f>COUNTIFS(Presenze!$D:$D,D34,Presenze!$E:$E,"S")</f>
        <v>0</v>
      </c>
      <c r="I34">
        <f>COUNTIFS(Presenze!$D:$D,D34,Presenze!$F:$F,"S")</f>
        <v>0</v>
      </c>
      <c r="J34">
        <f>COUNTIFS(Presenze!$D:$D,D34,Presenze!$G:$G,"&lt;&gt;")</f>
        <v>0</v>
      </c>
      <c r="K34">
        <f t="shared" si="0"/>
        <v>0</v>
      </c>
      <c r="L34">
        <v>480</v>
      </c>
      <c r="M34">
        <v>15</v>
      </c>
      <c r="N34">
        <v>255</v>
      </c>
      <c r="O34" s="2">
        <f t="shared" si="1"/>
        <v>240</v>
      </c>
      <c r="P34" t="str">
        <f t="shared" ca="1" si="2"/>
        <v>🟢</v>
      </c>
      <c r="Q34" t="str">
        <f t="shared" si="3"/>
        <v>🟡</v>
      </c>
    </row>
    <row r="35" spans="1:18" x14ac:dyDescent="0.25">
      <c r="A35">
        <v>5</v>
      </c>
      <c r="B35" t="s">
        <v>48</v>
      </c>
      <c r="C35" t="s">
        <v>143</v>
      </c>
      <c r="D35" t="s">
        <v>50</v>
      </c>
      <c r="F35" t="s">
        <v>169</v>
      </c>
      <c r="G35" s="1">
        <v>46308</v>
      </c>
      <c r="H35">
        <f>COUNTIFS(Presenze!$D:$D,D35,Presenze!$E:$E,"S")</f>
        <v>0</v>
      </c>
      <c r="I35">
        <f>COUNTIFS(Presenze!$D:$D,D35,Presenze!$F:$F,"S")</f>
        <v>0</v>
      </c>
      <c r="J35">
        <f>COUNTIFS(Presenze!$D:$D,D35,Presenze!$G:$G,"&lt;&gt;")</f>
        <v>0</v>
      </c>
      <c r="K35">
        <f t="shared" si="0"/>
        <v>0</v>
      </c>
      <c r="L35">
        <v>480</v>
      </c>
      <c r="M35">
        <v>15</v>
      </c>
      <c r="N35">
        <v>255</v>
      </c>
      <c r="O35" s="2">
        <f t="shared" si="1"/>
        <v>240</v>
      </c>
      <c r="P35" t="str">
        <f t="shared" ca="1" si="2"/>
        <v>🟢</v>
      </c>
      <c r="Q35" t="str">
        <f t="shared" si="3"/>
        <v>🟡</v>
      </c>
    </row>
    <row r="36" spans="1:18" x14ac:dyDescent="0.25">
      <c r="A36">
        <v>5</v>
      </c>
      <c r="B36" t="s">
        <v>48</v>
      </c>
      <c r="C36" t="s">
        <v>143</v>
      </c>
      <c r="D36" t="s">
        <v>51</v>
      </c>
      <c r="F36" t="s">
        <v>169</v>
      </c>
      <c r="G36" s="1">
        <v>46058</v>
      </c>
      <c r="H36">
        <f>COUNTIFS(Presenze!$D:$D,D36,Presenze!$E:$E,"S")</f>
        <v>0</v>
      </c>
      <c r="I36">
        <f>COUNTIFS(Presenze!$D:$D,D36,Presenze!$F:$F,"S")</f>
        <v>0</v>
      </c>
      <c r="J36">
        <f>COUNTIFS(Presenze!$D:$D,D36,Presenze!$G:$G,"&lt;&gt;")</f>
        <v>0</v>
      </c>
      <c r="K36">
        <f t="shared" ref="K36:K68" si="8">I36-J36</f>
        <v>0</v>
      </c>
      <c r="L36">
        <v>860</v>
      </c>
      <c r="M36">
        <v>15</v>
      </c>
      <c r="N36">
        <v>445</v>
      </c>
      <c r="O36" s="2">
        <f t="shared" ref="O36:O68" si="9">L36+M36-N36</f>
        <v>430</v>
      </c>
      <c r="P36" t="str">
        <f t="shared" ref="P36:P68" ca="1" si="10">IF(OR(F36="nessuno",F36=""),"🔴",IF(AND(OR(F36="agonistico",F36="non agonistico"),G36&lt;TODAY()),"🔴",IF(AND(OR(F36="agonistico",F36="non agonistico"),G36&lt;=TODAY()+30),"🟡","🟢")))</f>
        <v>🟡</v>
      </c>
      <c r="Q36" t="str">
        <f t="shared" ref="Q36:Q68" si="11">IF((L36+M36)&lt;=0,"🟢",IF(N36&lt;=0,"🔴",IF(O36&gt;0,"🟡","🟢")))</f>
        <v>🟡</v>
      </c>
    </row>
    <row r="37" spans="1:18" x14ac:dyDescent="0.25">
      <c r="A37">
        <v>5</v>
      </c>
      <c r="B37" t="s">
        <v>48</v>
      </c>
      <c r="C37" t="s">
        <v>143</v>
      </c>
      <c r="D37" t="s">
        <v>52</v>
      </c>
      <c r="F37" t="s">
        <v>169</v>
      </c>
      <c r="G37" s="1">
        <v>46321</v>
      </c>
      <c r="H37">
        <f>COUNTIFS(Presenze!$D:$D,D37,Presenze!$E:$E,"S")</f>
        <v>0</v>
      </c>
      <c r="I37">
        <f>COUNTIFS(Presenze!$D:$D,D37,Presenze!$F:$F,"S")</f>
        <v>0</v>
      </c>
      <c r="J37">
        <f>COUNTIFS(Presenze!$D:$D,D37,Presenze!$G:$G,"&lt;&gt;")</f>
        <v>0</v>
      </c>
      <c r="K37">
        <f t="shared" si="8"/>
        <v>0</v>
      </c>
      <c r="L37">
        <v>480</v>
      </c>
      <c r="M37">
        <v>15</v>
      </c>
      <c r="N37">
        <v>255</v>
      </c>
      <c r="O37" s="2">
        <f t="shared" si="9"/>
        <v>240</v>
      </c>
      <c r="P37" t="str">
        <f t="shared" ca="1" si="10"/>
        <v>🟢</v>
      </c>
      <c r="Q37" t="str">
        <f t="shared" si="11"/>
        <v>🟡</v>
      </c>
    </row>
    <row r="38" spans="1:18" x14ac:dyDescent="0.25">
      <c r="A38">
        <v>5</v>
      </c>
      <c r="B38" t="s">
        <v>48</v>
      </c>
      <c r="C38" t="s">
        <v>143</v>
      </c>
      <c r="D38" t="s">
        <v>53</v>
      </c>
      <c r="F38" t="s">
        <v>168</v>
      </c>
      <c r="G38" s="1">
        <v>46297</v>
      </c>
      <c r="H38">
        <f>COUNTIFS(Presenze!$D:$D,D38,Presenze!$E:$E,"S")</f>
        <v>0</v>
      </c>
      <c r="I38">
        <f>COUNTIFS(Presenze!$D:$D,D38,Presenze!$F:$F,"S")</f>
        <v>0</v>
      </c>
      <c r="J38">
        <f>COUNTIFS(Presenze!$D:$D,D38,Presenze!$G:$G,"&lt;&gt;")</f>
        <v>0</v>
      </c>
      <c r="K38">
        <f t="shared" si="8"/>
        <v>0</v>
      </c>
      <c r="L38">
        <v>480</v>
      </c>
      <c r="M38">
        <v>15</v>
      </c>
      <c r="N38">
        <v>255</v>
      </c>
      <c r="O38" s="2">
        <f t="shared" si="9"/>
        <v>240</v>
      </c>
      <c r="P38" t="str">
        <f t="shared" ca="1" si="10"/>
        <v>🟢</v>
      </c>
      <c r="Q38" t="str">
        <f t="shared" si="11"/>
        <v>🟡</v>
      </c>
    </row>
    <row r="39" spans="1:18" x14ac:dyDescent="0.25">
      <c r="A39">
        <v>5</v>
      </c>
      <c r="B39" t="s">
        <v>48</v>
      </c>
      <c r="C39" t="s">
        <v>143</v>
      </c>
      <c r="D39" t="s">
        <v>54</v>
      </c>
      <c r="F39" t="s">
        <v>169</v>
      </c>
      <c r="G39" s="1">
        <v>46275</v>
      </c>
      <c r="H39">
        <f>COUNTIFS(Presenze!$D:$D,D39,Presenze!$E:$E,"S")</f>
        <v>0</v>
      </c>
      <c r="I39">
        <f>COUNTIFS(Presenze!$D:$D,D39,Presenze!$F:$F,"S")</f>
        <v>0</v>
      </c>
      <c r="J39">
        <f>COUNTIFS(Presenze!$D:$D,D39,Presenze!$G:$G,"&lt;&gt;")</f>
        <v>0</v>
      </c>
      <c r="K39">
        <f t="shared" si="8"/>
        <v>0</v>
      </c>
      <c r="L39">
        <v>480</v>
      </c>
      <c r="M39">
        <v>15</v>
      </c>
      <c r="N39">
        <v>255</v>
      </c>
      <c r="O39" s="2">
        <f t="shared" si="9"/>
        <v>240</v>
      </c>
      <c r="P39" t="str">
        <f t="shared" ca="1" si="10"/>
        <v>🟢</v>
      </c>
      <c r="Q39" t="str">
        <f t="shared" si="11"/>
        <v>🟡</v>
      </c>
    </row>
    <row r="40" spans="1:18" x14ac:dyDescent="0.25">
      <c r="A40">
        <v>5</v>
      </c>
      <c r="B40" t="s">
        <v>48</v>
      </c>
      <c r="C40" t="s">
        <v>143</v>
      </c>
      <c r="D40" t="s">
        <v>172</v>
      </c>
      <c r="G40" s="1"/>
      <c r="H40">
        <f>COUNTIFS(Presenze!$D:$D,D40,Presenze!$E:$E,"S")</f>
        <v>0</v>
      </c>
      <c r="I40">
        <f>COUNTIFS(Presenze!$D:$D,D40,Presenze!$F:$F,"S")</f>
        <v>0</v>
      </c>
      <c r="J40">
        <f>COUNTIFS(Presenze!$D:$D,D40,Presenze!$G:$G,"&lt;&gt;")</f>
        <v>0</v>
      </c>
      <c r="K40">
        <f t="shared" ref="K40" si="12">I40-J40</f>
        <v>0</v>
      </c>
      <c r="L40">
        <v>285</v>
      </c>
      <c r="M40">
        <v>15</v>
      </c>
      <c r="N40">
        <v>0</v>
      </c>
      <c r="O40" s="2">
        <f t="shared" ref="O40" si="13">L40+M40-N40</f>
        <v>300</v>
      </c>
      <c r="P40" t="str">
        <f t="shared" ref="P40" ca="1" si="14">IF(OR(F40="nessuno",F40=""),"🔴",IF(AND(OR(F40="agonistico",F40="non agonistico"),G40&lt;TODAY()),"🔴",IF(AND(OR(F40="agonistico",F40="non agonistico"),G40&lt;=TODAY()+30),"🟡","🟢")))</f>
        <v>🔴</v>
      </c>
      <c r="Q40" t="str">
        <f t="shared" ref="Q40" si="15">IF((L40+M40)&lt;=0,"🟢",IF(N40&lt;=0,"🔴",IF(O40&gt;0,"🟡","🟢")))</f>
        <v>🔴</v>
      </c>
    </row>
    <row r="41" spans="1:18" x14ac:dyDescent="0.25">
      <c r="A41">
        <v>5</v>
      </c>
      <c r="B41" t="s">
        <v>48</v>
      </c>
      <c r="C41" t="s">
        <v>143</v>
      </c>
      <c r="D41" t="s">
        <v>41</v>
      </c>
      <c r="F41" t="s">
        <v>169</v>
      </c>
      <c r="G41" s="1">
        <v>46182</v>
      </c>
      <c r="H41">
        <f>COUNTIFS(Presenze!$D:$D,D41,Presenze!$E:$E,"S")</f>
        <v>0</v>
      </c>
      <c r="I41">
        <f>COUNTIFS(Presenze!$D:$D,D41,Presenze!$F:$F,"S")</f>
        <v>0</v>
      </c>
      <c r="J41">
        <f>COUNTIFS(Presenze!$D:$D,D41,Presenze!$G:$G,"&lt;&gt;")</f>
        <v>0</v>
      </c>
      <c r="K41">
        <f t="shared" si="8"/>
        <v>0</v>
      </c>
      <c r="L41">
        <v>480</v>
      </c>
      <c r="M41">
        <v>15</v>
      </c>
      <c r="N41">
        <v>255</v>
      </c>
      <c r="O41" s="2">
        <f t="shared" si="9"/>
        <v>240</v>
      </c>
      <c r="P41" t="str">
        <f t="shared" ca="1" si="10"/>
        <v>🟢</v>
      </c>
      <c r="Q41" t="str">
        <f t="shared" si="11"/>
        <v>🟡</v>
      </c>
    </row>
    <row r="42" spans="1:18" x14ac:dyDescent="0.25">
      <c r="A42">
        <v>5</v>
      </c>
      <c r="B42" t="s">
        <v>48</v>
      </c>
      <c r="C42" t="s">
        <v>143</v>
      </c>
      <c r="D42" t="s">
        <v>55</v>
      </c>
      <c r="H42">
        <f>COUNTIFS(Presenze!$D:$D,D42,Presenze!$E:$E,"S")</f>
        <v>0</v>
      </c>
      <c r="I42">
        <f>COUNTIFS(Presenze!$D:$D,D42,Presenze!$F:$F,"S")</f>
        <v>0</v>
      </c>
      <c r="J42">
        <f>COUNTIFS(Presenze!$D:$D,D42,Presenze!$G:$G,"&lt;&gt;")</f>
        <v>0</v>
      </c>
      <c r="K42">
        <f t="shared" si="8"/>
        <v>0</v>
      </c>
      <c r="L42">
        <v>480</v>
      </c>
      <c r="M42">
        <v>15</v>
      </c>
      <c r="N42">
        <v>255</v>
      </c>
      <c r="O42" s="2">
        <f t="shared" si="9"/>
        <v>240</v>
      </c>
      <c r="P42" t="str">
        <f t="shared" ca="1" si="10"/>
        <v>🔴</v>
      </c>
      <c r="Q42" t="str">
        <f t="shared" si="11"/>
        <v>🟡</v>
      </c>
    </row>
    <row r="43" spans="1:18" x14ac:dyDescent="0.25">
      <c r="A43">
        <v>6</v>
      </c>
      <c r="B43" t="s">
        <v>56</v>
      </c>
      <c r="C43" t="s">
        <v>143</v>
      </c>
      <c r="D43" t="s">
        <v>57</v>
      </c>
      <c r="F43" t="s">
        <v>169</v>
      </c>
      <c r="G43" s="1">
        <v>46309</v>
      </c>
      <c r="H43">
        <f>COUNTIFS(Presenze!$D:$D,D43,Presenze!$E:$E,"S")</f>
        <v>0</v>
      </c>
      <c r="I43">
        <f>COUNTIFS(Presenze!$D:$D,D43,Presenze!$F:$F,"S")</f>
        <v>0</v>
      </c>
      <c r="J43">
        <f>COUNTIFS(Presenze!$D:$D,D43,Presenze!$G:$G,"&lt;&gt;")</f>
        <v>0</v>
      </c>
      <c r="K43">
        <f t="shared" si="8"/>
        <v>0</v>
      </c>
      <c r="L43">
        <v>480</v>
      </c>
      <c r="M43">
        <v>15</v>
      </c>
      <c r="N43">
        <v>255</v>
      </c>
      <c r="O43" s="2">
        <f t="shared" si="9"/>
        <v>240</v>
      </c>
      <c r="P43" t="str">
        <f t="shared" ca="1" si="10"/>
        <v>🟢</v>
      </c>
      <c r="Q43" t="str">
        <f t="shared" si="11"/>
        <v>🟡</v>
      </c>
    </row>
    <row r="44" spans="1:18" x14ac:dyDescent="0.25">
      <c r="A44">
        <v>6</v>
      </c>
      <c r="B44" t="s">
        <v>56</v>
      </c>
      <c r="C44" t="s">
        <v>143</v>
      </c>
      <c r="D44" t="s">
        <v>58</v>
      </c>
      <c r="F44" t="s">
        <v>169</v>
      </c>
      <c r="G44" s="1">
        <v>46309</v>
      </c>
      <c r="H44">
        <f>COUNTIFS(Presenze!$D:$D,D44,Presenze!$E:$E,"S")</f>
        <v>0</v>
      </c>
      <c r="I44">
        <f>COUNTIFS(Presenze!$D:$D,D44,Presenze!$F:$F,"S")</f>
        <v>0</v>
      </c>
      <c r="J44">
        <f>COUNTIFS(Presenze!$D:$D,D44,Presenze!$G:$G,"&lt;&gt;")</f>
        <v>0</v>
      </c>
      <c r="K44">
        <f t="shared" si="8"/>
        <v>0</v>
      </c>
      <c r="L44">
        <v>480</v>
      </c>
      <c r="M44">
        <v>15</v>
      </c>
      <c r="N44">
        <v>255</v>
      </c>
      <c r="O44" s="2">
        <f t="shared" si="9"/>
        <v>240</v>
      </c>
      <c r="P44" t="str">
        <f t="shared" ca="1" si="10"/>
        <v>🟢</v>
      </c>
      <c r="Q44" t="str">
        <f t="shared" si="11"/>
        <v>🟡</v>
      </c>
    </row>
    <row r="45" spans="1:18" x14ac:dyDescent="0.25">
      <c r="A45">
        <v>6</v>
      </c>
      <c r="B45" t="s">
        <v>56</v>
      </c>
      <c r="C45" t="s">
        <v>143</v>
      </c>
      <c r="D45" t="s">
        <v>60</v>
      </c>
      <c r="F45" t="s">
        <v>169</v>
      </c>
      <c r="G45" s="1">
        <v>46310</v>
      </c>
      <c r="H45">
        <f>COUNTIFS(Presenze!$D:$D,D45,Presenze!$E:$E,"S")</f>
        <v>0</v>
      </c>
      <c r="I45">
        <f>COUNTIFS(Presenze!$D:$D,D45,Presenze!$F:$F,"S")</f>
        <v>0</v>
      </c>
      <c r="J45">
        <f>COUNTIFS(Presenze!$D:$D,D45,Presenze!$G:$G,"&lt;&gt;")</f>
        <v>0</v>
      </c>
      <c r="K45">
        <f t="shared" si="8"/>
        <v>0</v>
      </c>
      <c r="L45">
        <v>480</v>
      </c>
      <c r="M45">
        <v>15</v>
      </c>
      <c r="N45">
        <v>255</v>
      </c>
      <c r="O45" s="2">
        <f t="shared" si="9"/>
        <v>240</v>
      </c>
      <c r="P45" t="str">
        <f t="shared" ca="1" si="10"/>
        <v>🟢</v>
      </c>
      <c r="Q45" t="str">
        <f t="shared" si="11"/>
        <v>🟡</v>
      </c>
    </row>
    <row r="46" spans="1:18" x14ac:dyDescent="0.25">
      <c r="A46">
        <v>6</v>
      </c>
      <c r="B46" t="s">
        <v>56</v>
      </c>
      <c r="C46" t="s">
        <v>143</v>
      </c>
      <c r="D46" t="s">
        <v>61</v>
      </c>
      <c r="F46" t="s">
        <v>168</v>
      </c>
      <c r="G46" s="1">
        <v>46302</v>
      </c>
      <c r="H46">
        <f>COUNTIFS(Presenze!$D:$D,D46,Presenze!$E:$E,"S")</f>
        <v>0</v>
      </c>
      <c r="I46">
        <f>COUNTIFS(Presenze!$D:$D,D46,Presenze!$F:$F,"S")</f>
        <v>0</v>
      </c>
      <c r="J46">
        <f>COUNTIFS(Presenze!$D:$D,D46,Presenze!$G:$G,"&lt;&gt;")</f>
        <v>0</v>
      </c>
      <c r="K46">
        <f t="shared" si="8"/>
        <v>0</v>
      </c>
      <c r="L46">
        <v>480</v>
      </c>
      <c r="M46">
        <v>15</v>
      </c>
      <c r="N46">
        <f>255+240</f>
        <v>495</v>
      </c>
      <c r="O46" s="2">
        <f t="shared" si="9"/>
        <v>0</v>
      </c>
      <c r="P46" t="str">
        <f t="shared" ca="1" si="10"/>
        <v>🟢</v>
      </c>
      <c r="Q46" t="str">
        <f t="shared" si="11"/>
        <v>🟢</v>
      </c>
      <c r="R46" t="s">
        <v>149</v>
      </c>
    </row>
    <row r="47" spans="1:18" x14ac:dyDescent="0.25">
      <c r="A47">
        <v>6</v>
      </c>
      <c r="B47" t="s">
        <v>56</v>
      </c>
      <c r="C47" t="s">
        <v>143</v>
      </c>
      <c r="D47" t="s">
        <v>62</v>
      </c>
      <c r="F47" t="s">
        <v>168</v>
      </c>
      <c r="G47" s="1">
        <v>46270</v>
      </c>
      <c r="H47">
        <f>COUNTIFS(Presenze!$D:$D,D47,Presenze!$E:$E,"S")</f>
        <v>0</v>
      </c>
      <c r="I47">
        <f>COUNTIFS(Presenze!$D:$D,D47,Presenze!$F:$F,"S")</f>
        <v>0</v>
      </c>
      <c r="J47">
        <f>COUNTIFS(Presenze!$D:$D,D47,Presenze!$G:$G,"&lt;&gt;")</f>
        <v>0</v>
      </c>
      <c r="K47">
        <f t="shared" si="8"/>
        <v>0</v>
      </c>
      <c r="L47">
        <v>480</v>
      </c>
      <c r="M47">
        <v>15</v>
      </c>
      <c r="N47">
        <v>255</v>
      </c>
      <c r="O47" s="2">
        <f t="shared" si="9"/>
        <v>240</v>
      </c>
      <c r="P47" t="str">
        <f t="shared" ca="1" si="10"/>
        <v>🟢</v>
      </c>
      <c r="Q47" t="str">
        <f t="shared" si="11"/>
        <v>🟡</v>
      </c>
    </row>
    <row r="48" spans="1:18" x14ac:dyDescent="0.25">
      <c r="A48">
        <v>6</v>
      </c>
      <c r="B48" t="s">
        <v>56</v>
      </c>
      <c r="C48" t="s">
        <v>143</v>
      </c>
      <c r="D48" t="s">
        <v>183</v>
      </c>
      <c r="F48" t="s">
        <v>168</v>
      </c>
      <c r="G48" s="1">
        <v>46141</v>
      </c>
      <c r="H48">
        <f>COUNTIFS(Presenze!$D:$D,D48,Presenze!$E:$E,"S")</f>
        <v>0</v>
      </c>
      <c r="I48">
        <f>COUNTIFS(Presenze!$D:$D,D48,Presenze!$F:$F,"S")</f>
        <v>0</v>
      </c>
      <c r="J48">
        <f>COUNTIFS(Presenze!$D:$D,D48,Presenze!$G:$G,"&lt;&gt;")</f>
        <v>0</v>
      </c>
      <c r="K48">
        <f t="shared" si="8"/>
        <v>0</v>
      </c>
      <c r="L48">
        <v>480</v>
      </c>
      <c r="M48">
        <v>15</v>
      </c>
      <c r="N48">
        <v>255</v>
      </c>
      <c r="O48" s="2">
        <f t="shared" si="9"/>
        <v>240</v>
      </c>
      <c r="P48" t="str">
        <f t="shared" ca="1" si="10"/>
        <v>🟢</v>
      </c>
      <c r="Q48" t="str">
        <f t="shared" si="11"/>
        <v>🟡</v>
      </c>
    </row>
    <row r="49" spans="1:18" x14ac:dyDescent="0.25">
      <c r="A49">
        <v>6</v>
      </c>
      <c r="B49" t="s">
        <v>56</v>
      </c>
      <c r="C49" t="s">
        <v>143</v>
      </c>
      <c r="D49" t="s">
        <v>173</v>
      </c>
      <c r="H49">
        <f>COUNTIFS(Presenze!$D:$D,D49,Presenze!$E:$E,"S")</f>
        <v>0</v>
      </c>
      <c r="I49">
        <f>COUNTIFS(Presenze!$D:$D,D49,Presenze!$F:$F,"S")</f>
        <v>0</v>
      </c>
      <c r="J49">
        <f>COUNTIFS(Presenze!$D:$D,D49,Presenze!$G:$G,"&lt;&gt;")</f>
        <v>0</v>
      </c>
      <c r="K49">
        <f t="shared" si="8"/>
        <v>0</v>
      </c>
      <c r="L49">
        <v>180</v>
      </c>
      <c r="M49">
        <v>15</v>
      </c>
      <c r="N49">
        <v>0</v>
      </c>
      <c r="O49" s="2">
        <f t="shared" si="9"/>
        <v>195</v>
      </c>
      <c r="P49" t="str">
        <f t="shared" ca="1" si="10"/>
        <v>🔴</v>
      </c>
      <c r="Q49" t="str">
        <f t="shared" si="11"/>
        <v>🔴</v>
      </c>
    </row>
    <row r="50" spans="1:18" x14ac:dyDescent="0.25">
      <c r="A50">
        <v>6</v>
      </c>
      <c r="B50" t="s">
        <v>56</v>
      </c>
      <c r="C50" t="s">
        <v>143</v>
      </c>
      <c r="D50" t="s">
        <v>33</v>
      </c>
      <c r="F50" t="s">
        <v>169</v>
      </c>
      <c r="G50" s="1">
        <v>46098</v>
      </c>
      <c r="H50">
        <f>COUNTIFS(Presenze!$D:$D,D50,Presenze!$E:$E,"S")</f>
        <v>0</v>
      </c>
      <c r="I50">
        <f>COUNTIFS(Presenze!$D:$D,D50,Presenze!$F:$F,"S")</f>
        <v>0</v>
      </c>
      <c r="J50">
        <f>COUNTIFS(Presenze!$D:$D,D50,Presenze!$G:$G,"&lt;&gt;")</f>
        <v>0</v>
      </c>
      <c r="K50">
        <f t="shared" ref="K50" si="16">I50-J50</f>
        <v>0</v>
      </c>
      <c r="L50">
        <v>480</v>
      </c>
      <c r="M50">
        <v>15</v>
      </c>
      <c r="N50">
        <v>255</v>
      </c>
      <c r="O50" s="2">
        <f t="shared" ref="O50" si="17">L50+M50-N50</f>
        <v>240</v>
      </c>
      <c r="P50" t="str">
        <f t="shared" ref="P50" ca="1" si="18">IF(OR(F50="nessuno",F50=""),"🔴",IF(AND(OR(F50="agonistico",F50="non agonistico"),G50&lt;TODAY()),"🔴",IF(AND(OR(F50="agonistico",F50="non agonistico"),G50&lt;=TODAY()+30),"🟡","🟢")))</f>
        <v>🟢</v>
      </c>
      <c r="Q50" t="str">
        <f t="shared" ref="Q50" si="19">IF((L50+M50)&lt;=0,"🟢",IF(N50&lt;=0,"🔴",IF(O50&gt;0,"🟡","🟢")))</f>
        <v>🟡</v>
      </c>
    </row>
    <row r="51" spans="1:18" x14ac:dyDescent="0.25">
      <c r="A51">
        <v>7</v>
      </c>
      <c r="B51" t="s">
        <v>64</v>
      </c>
      <c r="C51" t="s">
        <v>143</v>
      </c>
      <c r="D51" t="s">
        <v>65</v>
      </c>
      <c r="F51" t="s">
        <v>168</v>
      </c>
      <c r="G51" s="1">
        <v>46323</v>
      </c>
      <c r="H51">
        <f>COUNTIFS(Presenze!$D:$D,D51,Presenze!$E:$E,"S")</f>
        <v>0</v>
      </c>
      <c r="I51">
        <f>COUNTIFS(Presenze!$D:$D,D51,Presenze!$F:$F,"S")</f>
        <v>0</v>
      </c>
      <c r="J51">
        <f>COUNTIFS(Presenze!$D:$D,D51,Presenze!$G:$G,"&lt;&gt;")</f>
        <v>0</v>
      </c>
      <c r="K51">
        <f t="shared" si="8"/>
        <v>0</v>
      </c>
      <c r="L51">
        <v>450</v>
      </c>
      <c r="M51">
        <v>15</v>
      </c>
      <c r="N51">
        <v>255</v>
      </c>
      <c r="O51" s="2">
        <f t="shared" si="9"/>
        <v>210</v>
      </c>
      <c r="P51" t="str">
        <f t="shared" ca="1" si="10"/>
        <v>🟢</v>
      </c>
      <c r="Q51" t="str">
        <f t="shared" si="11"/>
        <v>🟡</v>
      </c>
    </row>
    <row r="52" spans="1:18" x14ac:dyDescent="0.25">
      <c r="A52">
        <v>7</v>
      </c>
      <c r="B52" t="s">
        <v>64</v>
      </c>
      <c r="C52" t="s">
        <v>143</v>
      </c>
      <c r="D52" t="s">
        <v>66</v>
      </c>
      <c r="F52" t="s">
        <v>169</v>
      </c>
      <c r="G52" s="1">
        <v>46102</v>
      </c>
      <c r="H52">
        <f>COUNTIFS(Presenze!$D:$D,D52,Presenze!$E:$E,"S")</f>
        <v>0</v>
      </c>
      <c r="I52">
        <f>COUNTIFS(Presenze!$D:$D,D52,Presenze!$F:$F,"S")</f>
        <v>0</v>
      </c>
      <c r="J52">
        <f>COUNTIFS(Presenze!$D:$D,D52,Presenze!$G:$G,"&lt;&gt;")</f>
        <v>0</v>
      </c>
      <c r="K52">
        <f t="shared" si="8"/>
        <v>0</v>
      </c>
      <c r="L52">
        <v>450</v>
      </c>
      <c r="M52">
        <v>15</v>
      </c>
      <c r="N52">
        <v>255</v>
      </c>
      <c r="O52" s="2">
        <f t="shared" si="9"/>
        <v>210</v>
      </c>
      <c r="P52" t="str">
        <f t="shared" ca="1" si="10"/>
        <v>🟢</v>
      </c>
      <c r="Q52" t="str">
        <f t="shared" si="11"/>
        <v>🟡</v>
      </c>
    </row>
    <row r="53" spans="1:18" x14ac:dyDescent="0.25">
      <c r="A53">
        <v>7</v>
      </c>
      <c r="B53" t="s">
        <v>64</v>
      </c>
      <c r="C53" t="s">
        <v>143</v>
      </c>
      <c r="D53" t="s">
        <v>67</v>
      </c>
      <c r="F53" t="s">
        <v>169</v>
      </c>
      <c r="G53" s="1">
        <v>46302</v>
      </c>
      <c r="H53">
        <f>COUNTIFS(Presenze!$D:$D,D53,Presenze!$E:$E,"S")</f>
        <v>0</v>
      </c>
      <c r="I53">
        <f>COUNTIFS(Presenze!$D:$D,D53,Presenze!$F:$F,"S")</f>
        <v>0</v>
      </c>
      <c r="J53">
        <f>COUNTIFS(Presenze!$D:$D,D53,Presenze!$G:$G,"&lt;&gt;")</f>
        <v>0</v>
      </c>
      <c r="K53">
        <f t="shared" si="8"/>
        <v>0</v>
      </c>
      <c r="L53">
        <v>450</v>
      </c>
      <c r="M53">
        <v>15</v>
      </c>
      <c r="N53">
        <v>255</v>
      </c>
      <c r="O53" s="2">
        <f t="shared" si="9"/>
        <v>210</v>
      </c>
      <c r="P53" t="str">
        <f t="shared" ca="1" si="10"/>
        <v>🟢</v>
      </c>
      <c r="Q53" t="str">
        <f t="shared" si="11"/>
        <v>🟡</v>
      </c>
    </row>
    <row r="54" spans="1:18" x14ac:dyDescent="0.25">
      <c r="A54">
        <v>7</v>
      </c>
      <c r="B54" t="s">
        <v>64</v>
      </c>
      <c r="C54" t="s">
        <v>143</v>
      </c>
      <c r="D54" t="s">
        <v>174</v>
      </c>
      <c r="G54" s="1"/>
      <c r="H54">
        <f>COUNTIFS(Presenze!$D:$D,D54,Presenze!$E:$E,"S")</f>
        <v>0</v>
      </c>
      <c r="I54">
        <f>COUNTIFS(Presenze!$D:$D,D54,Presenze!$F:$F,"S")</f>
        <v>0</v>
      </c>
      <c r="J54">
        <f>COUNTIFS(Presenze!$D:$D,D54,Presenze!$G:$G,"&lt;&gt;")</f>
        <v>0</v>
      </c>
      <c r="K54">
        <f t="shared" ref="K54" si="20">I54-J54</f>
        <v>0</v>
      </c>
      <c r="L54">
        <v>240</v>
      </c>
      <c r="M54">
        <v>15</v>
      </c>
      <c r="N54">
        <v>255</v>
      </c>
      <c r="O54" s="2">
        <f t="shared" ref="O54" si="21">L54+M54-N54</f>
        <v>0</v>
      </c>
      <c r="P54" t="str">
        <f t="shared" ref="P54" ca="1" si="22">IF(OR(F54="nessuno",F54=""),"🔴",IF(AND(OR(F54="agonistico",F54="non agonistico"),G54&lt;TODAY()),"🔴",IF(AND(OR(F54="agonistico",F54="non agonistico"),G54&lt;=TODAY()+30),"🟡","🟢")))</f>
        <v>🔴</v>
      </c>
      <c r="Q54" t="str">
        <f t="shared" ref="Q54" si="23">IF((L54+M54)&lt;=0,"🟢",IF(N54&lt;=0,"🔴",IF(O54&gt;0,"🟡","🟢")))</f>
        <v>🟢</v>
      </c>
    </row>
    <row r="55" spans="1:18" x14ac:dyDescent="0.25">
      <c r="A55">
        <v>7</v>
      </c>
      <c r="B55" t="s">
        <v>64</v>
      </c>
      <c r="C55" t="s">
        <v>143</v>
      </c>
      <c r="D55" t="s">
        <v>68</v>
      </c>
      <c r="F55" t="s">
        <v>169</v>
      </c>
      <c r="G55" s="1">
        <v>46199</v>
      </c>
      <c r="H55">
        <f>COUNTIFS(Presenze!$D:$D,D55,Presenze!$E:$E,"S")</f>
        <v>0</v>
      </c>
      <c r="I55">
        <f>COUNTIFS(Presenze!$D:$D,D55,Presenze!$F:$F,"S")</f>
        <v>0</v>
      </c>
      <c r="J55">
        <f>COUNTIFS(Presenze!$D:$D,D55,Presenze!$G:$G,"&lt;&gt;")</f>
        <v>0</v>
      </c>
      <c r="K55">
        <f t="shared" si="8"/>
        <v>0</v>
      </c>
      <c r="L55">
        <v>450</v>
      </c>
      <c r="M55">
        <v>15</v>
      </c>
      <c r="N55">
        <v>255</v>
      </c>
      <c r="O55" s="2">
        <f t="shared" si="9"/>
        <v>210</v>
      </c>
      <c r="P55" t="str">
        <f t="shared" ca="1" si="10"/>
        <v>🟢</v>
      </c>
      <c r="Q55" t="str">
        <f t="shared" si="11"/>
        <v>🟡</v>
      </c>
    </row>
    <row r="56" spans="1:18" x14ac:dyDescent="0.25">
      <c r="A56">
        <v>7</v>
      </c>
      <c r="B56" t="s">
        <v>64</v>
      </c>
      <c r="C56" t="s">
        <v>143</v>
      </c>
      <c r="D56" t="s">
        <v>69</v>
      </c>
      <c r="F56" t="s">
        <v>169</v>
      </c>
      <c r="G56" s="1">
        <v>46303</v>
      </c>
      <c r="H56">
        <f>COUNTIFS(Presenze!$D:$D,D56,Presenze!$E:$E,"S")</f>
        <v>0</v>
      </c>
      <c r="I56">
        <f>COUNTIFS(Presenze!$D:$D,D56,Presenze!$F:$F,"S")</f>
        <v>0</v>
      </c>
      <c r="J56">
        <f>COUNTIFS(Presenze!$D:$D,D56,Presenze!$G:$G,"&lt;&gt;")</f>
        <v>0</v>
      </c>
      <c r="K56">
        <f t="shared" si="8"/>
        <v>0</v>
      </c>
      <c r="L56">
        <v>360</v>
      </c>
      <c r="M56">
        <v>15</v>
      </c>
      <c r="N56">
        <v>255</v>
      </c>
      <c r="O56" s="2">
        <f t="shared" si="9"/>
        <v>120</v>
      </c>
      <c r="P56" t="str">
        <f t="shared" ca="1" si="10"/>
        <v>🟢</v>
      </c>
      <c r="Q56" t="str">
        <f t="shared" si="11"/>
        <v>🟡</v>
      </c>
    </row>
    <row r="57" spans="1:18" x14ac:dyDescent="0.25">
      <c r="A57">
        <v>8</v>
      </c>
      <c r="B57" t="s">
        <v>70</v>
      </c>
      <c r="C57" t="s">
        <v>145</v>
      </c>
      <c r="D57" t="s">
        <v>71</v>
      </c>
      <c r="F57" t="s">
        <v>169</v>
      </c>
      <c r="G57" s="1">
        <v>46350</v>
      </c>
      <c r="H57">
        <f>COUNTIFS(Presenze!$D:$D,D57,Presenze!$E:$E,"S")</f>
        <v>0</v>
      </c>
      <c r="I57">
        <f>COUNTIFS(Presenze!$D:$D,D57,Presenze!$F:$F,"S")</f>
        <v>0</v>
      </c>
      <c r="J57">
        <f>COUNTIFS(Presenze!$D:$D,D57,Presenze!$G:$G,"&lt;&gt;")</f>
        <v>0</v>
      </c>
      <c r="K57">
        <f t="shared" si="8"/>
        <v>0</v>
      </c>
      <c r="L57">
        <v>480</v>
      </c>
      <c r="M57">
        <v>15</v>
      </c>
      <c r="N57">
        <v>255</v>
      </c>
      <c r="O57" s="2">
        <f t="shared" si="9"/>
        <v>240</v>
      </c>
      <c r="P57" t="str">
        <f t="shared" ca="1" si="10"/>
        <v>🟢</v>
      </c>
      <c r="Q57" t="str">
        <f t="shared" si="11"/>
        <v>🟡</v>
      </c>
    </row>
    <row r="58" spans="1:18" x14ac:dyDescent="0.25">
      <c r="A58">
        <v>8</v>
      </c>
      <c r="B58" t="s">
        <v>70</v>
      </c>
      <c r="C58" t="s">
        <v>145</v>
      </c>
      <c r="D58" t="s">
        <v>72</v>
      </c>
      <c r="F58" t="s">
        <v>169</v>
      </c>
      <c r="G58" s="1">
        <v>46351</v>
      </c>
      <c r="H58">
        <f>COUNTIFS(Presenze!$D:$D,D58,Presenze!$E:$E,"S")</f>
        <v>0</v>
      </c>
      <c r="I58">
        <f>COUNTIFS(Presenze!$D:$D,D58,Presenze!$F:$F,"S")</f>
        <v>0</v>
      </c>
      <c r="J58">
        <f>COUNTIFS(Presenze!$D:$D,D58,Presenze!$G:$G,"&lt;&gt;")</f>
        <v>0</v>
      </c>
      <c r="K58">
        <f t="shared" si="8"/>
        <v>0</v>
      </c>
      <c r="L58">
        <v>480</v>
      </c>
      <c r="M58">
        <v>15</v>
      </c>
      <c r="N58">
        <v>255</v>
      </c>
      <c r="O58" s="2">
        <f t="shared" si="9"/>
        <v>240</v>
      </c>
      <c r="P58" t="str">
        <f t="shared" ca="1" si="10"/>
        <v>🟢</v>
      </c>
      <c r="Q58" t="str">
        <f t="shared" si="11"/>
        <v>🟡</v>
      </c>
    </row>
    <row r="59" spans="1:18" x14ac:dyDescent="0.25">
      <c r="A59">
        <v>8</v>
      </c>
      <c r="B59" t="s">
        <v>70</v>
      </c>
      <c r="C59" t="s">
        <v>145</v>
      </c>
      <c r="D59" t="s">
        <v>73</v>
      </c>
      <c r="F59" t="s">
        <v>169</v>
      </c>
      <c r="G59" s="1">
        <v>46353</v>
      </c>
      <c r="H59">
        <f>COUNTIFS(Presenze!$D:$D,D59,Presenze!$E:$E,"S")</f>
        <v>0</v>
      </c>
      <c r="I59">
        <f>COUNTIFS(Presenze!$D:$D,D59,Presenze!$F:$F,"S")</f>
        <v>0</v>
      </c>
      <c r="J59">
        <f>COUNTIFS(Presenze!$D:$D,D59,Presenze!$G:$G,"&lt;&gt;")</f>
        <v>0</v>
      </c>
      <c r="K59">
        <f t="shared" si="8"/>
        <v>0</v>
      </c>
      <c r="L59">
        <v>465</v>
      </c>
      <c r="M59">
        <v>15</v>
      </c>
      <c r="N59">
        <v>240</v>
      </c>
      <c r="O59" s="2">
        <f t="shared" si="9"/>
        <v>240</v>
      </c>
      <c r="P59" t="str">
        <f t="shared" ca="1" si="10"/>
        <v>🟢</v>
      </c>
      <c r="Q59" t="str">
        <f t="shared" si="11"/>
        <v>🟡</v>
      </c>
      <c r="R59" t="s">
        <v>150</v>
      </c>
    </row>
    <row r="60" spans="1:18" x14ac:dyDescent="0.25">
      <c r="A60">
        <v>8</v>
      </c>
      <c r="B60" t="s">
        <v>70</v>
      </c>
      <c r="C60" t="s">
        <v>145</v>
      </c>
      <c r="D60" t="s">
        <v>74</v>
      </c>
      <c r="F60" t="s">
        <v>169</v>
      </c>
      <c r="G60" s="1">
        <v>46309</v>
      </c>
      <c r="H60">
        <f>COUNTIFS(Presenze!$D:$D,D60,Presenze!$E:$E,"S")</f>
        <v>0</v>
      </c>
      <c r="I60">
        <f>COUNTIFS(Presenze!$D:$D,D60,Presenze!$F:$F,"S")</f>
        <v>0</v>
      </c>
      <c r="J60">
        <f>COUNTIFS(Presenze!$D:$D,D60,Presenze!$G:$G,"&lt;&gt;")</f>
        <v>0</v>
      </c>
      <c r="K60">
        <f t="shared" si="8"/>
        <v>0</v>
      </c>
      <c r="L60">
        <v>480</v>
      </c>
      <c r="M60">
        <v>15</v>
      </c>
      <c r="N60">
        <v>255</v>
      </c>
      <c r="O60" s="2">
        <f t="shared" si="9"/>
        <v>240</v>
      </c>
      <c r="P60" t="str">
        <f t="shared" ca="1" si="10"/>
        <v>🟢</v>
      </c>
      <c r="Q60" t="str">
        <f t="shared" si="11"/>
        <v>🟡</v>
      </c>
    </row>
    <row r="61" spans="1:18" x14ac:dyDescent="0.25">
      <c r="A61">
        <v>8</v>
      </c>
      <c r="B61" t="s">
        <v>70</v>
      </c>
      <c r="C61" t="s">
        <v>145</v>
      </c>
      <c r="D61" t="s">
        <v>75</v>
      </c>
      <c r="F61" t="s">
        <v>169</v>
      </c>
      <c r="G61" s="1">
        <v>46275</v>
      </c>
      <c r="H61">
        <f>COUNTIFS(Presenze!$D:$D,D61,Presenze!$E:$E,"S")</f>
        <v>0</v>
      </c>
      <c r="I61">
        <f>COUNTIFS(Presenze!$D:$D,D61,Presenze!$F:$F,"S")</f>
        <v>0</v>
      </c>
      <c r="J61">
        <f>COUNTIFS(Presenze!$D:$D,D61,Presenze!$G:$G,"&lt;&gt;")</f>
        <v>0</v>
      </c>
      <c r="K61">
        <f t="shared" si="8"/>
        <v>0</v>
      </c>
      <c r="L61">
        <v>480</v>
      </c>
      <c r="M61">
        <v>15</v>
      </c>
      <c r="N61">
        <v>255</v>
      </c>
      <c r="O61" s="2">
        <f t="shared" si="9"/>
        <v>240</v>
      </c>
      <c r="P61" t="str">
        <f t="shared" ca="1" si="10"/>
        <v>🟢</v>
      </c>
      <c r="Q61" t="str">
        <f t="shared" si="11"/>
        <v>🟡</v>
      </c>
    </row>
    <row r="62" spans="1:18" x14ac:dyDescent="0.25">
      <c r="A62">
        <v>8</v>
      </c>
      <c r="B62" t="s">
        <v>70</v>
      </c>
      <c r="C62" t="s">
        <v>145</v>
      </c>
      <c r="D62" t="s">
        <v>76</v>
      </c>
      <c r="F62" t="s">
        <v>169</v>
      </c>
      <c r="G62" s="1">
        <v>46346</v>
      </c>
      <c r="H62">
        <f>COUNTIFS(Presenze!$D:$D,D62,Presenze!$E:$E,"S")</f>
        <v>0</v>
      </c>
      <c r="I62">
        <f>COUNTIFS(Presenze!$D:$D,D62,Presenze!$F:$F,"S")</f>
        <v>0</v>
      </c>
      <c r="J62">
        <f>COUNTIFS(Presenze!$D:$D,D62,Presenze!$G:$G,"&lt;&gt;")</f>
        <v>0</v>
      </c>
      <c r="K62">
        <f t="shared" si="8"/>
        <v>0</v>
      </c>
      <c r="L62">
        <v>480</v>
      </c>
      <c r="M62">
        <v>15</v>
      </c>
      <c r="N62">
        <v>255</v>
      </c>
      <c r="O62" s="2">
        <f t="shared" si="9"/>
        <v>240</v>
      </c>
      <c r="P62" t="str">
        <f t="shared" ca="1" si="10"/>
        <v>🟢</v>
      </c>
      <c r="Q62" t="str">
        <f t="shared" si="11"/>
        <v>🟡</v>
      </c>
    </row>
    <row r="63" spans="1:18" x14ac:dyDescent="0.25">
      <c r="A63">
        <v>9</v>
      </c>
      <c r="B63" t="s">
        <v>77</v>
      </c>
      <c r="C63" t="s">
        <v>145</v>
      </c>
      <c r="D63" t="s">
        <v>46</v>
      </c>
      <c r="F63" t="s">
        <v>168</v>
      </c>
      <c r="G63" s="1">
        <v>46094</v>
      </c>
      <c r="H63">
        <f>COUNTIFS(Presenze!$D:$D,D63,Presenze!$E:$E,"S")</f>
        <v>0</v>
      </c>
      <c r="I63">
        <f>COUNTIFS(Presenze!$D:$D,D63,Presenze!$F:$F,"S")</f>
        <v>0</v>
      </c>
      <c r="J63">
        <f>COUNTIFS(Presenze!$D:$D,D63,Presenze!$G:$G,"&lt;&gt;")</f>
        <v>0</v>
      </c>
      <c r="K63">
        <f t="shared" si="8"/>
        <v>0</v>
      </c>
      <c r="L63">
        <v>480</v>
      </c>
      <c r="M63">
        <v>15</v>
      </c>
      <c r="N63">
        <v>255</v>
      </c>
      <c r="O63" s="2">
        <f t="shared" si="9"/>
        <v>240</v>
      </c>
      <c r="P63" t="str">
        <f t="shared" ca="1" si="10"/>
        <v>🟢</v>
      </c>
      <c r="Q63" t="str">
        <f t="shared" si="11"/>
        <v>🟡</v>
      </c>
    </row>
    <row r="64" spans="1:18" x14ac:dyDescent="0.25">
      <c r="A64">
        <v>9</v>
      </c>
      <c r="B64" t="s">
        <v>77</v>
      </c>
      <c r="C64" t="s">
        <v>145</v>
      </c>
      <c r="D64" t="s">
        <v>78</v>
      </c>
      <c r="F64" t="s">
        <v>169</v>
      </c>
      <c r="G64" s="1">
        <v>46300</v>
      </c>
      <c r="H64">
        <f>COUNTIFS(Presenze!$D:$D,D64,Presenze!$E:$E,"S")</f>
        <v>0</v>
      </c>
      <c r="I64">
        <f>COUNTIFS(Presenze!$D:$D,D64,Presenze!$F:$F,"S")</f>
        <v>0</v>
      </c>
      <c r="J64">
        <f>COUNTIFS(Presenze!$D:$D,D64,Presenze!$G:$G,"&lt;&gt;")</f>
        <v>0</v>
      </c>
      <c r="K64">
        <f t="shared" si="8"/>
        <v>0</v>
      </c>
      <c r="L64">
        <v>480</v>
      </c>
      <c r="M64">
        <v>15</v>
      </c>
      <c r="N64">
        <v>255</v>
      </c>
      <c r="O64" s="2">
        <f t="shared" si="9"/>
        <v>240</v>
      </c>
      <c r="P64" t="str">
        <f t="shared" ca="1" si="10"/>
        <v>🟢</v>
      </c>
      <c r="Q64" t="str">
        <f t="shared" si="11"/>
        <v>🟡</v>
      </c>
    </row>
    <row r="65" spans="1:18" x14ac:dyDescent="0.25">
      <c r="A65">
        <v>9</v>
      </c>
      <c r="B65" t="s">
        <v>77</v>
      </c>
      <c r="C65" t="s">
        <v>145</v>
      </c>
      <c r="D65" s="7" t="s">
        <v>34</v>
      </c>
      <c r="E65" s="7"/>
      <c r="F65" s="7" t="s">
        <v>169</v>
      </c>
      <c r="G65" s="8">
        <v>46346</v>
      </c>
      <c r="H65" s="7">
        <f>COUNTIFS(Presenze!$D:$D,D65,Presenze!$E:$E,"S")</f>
        <v>0</v>
      </c>
      <c r="I65" s="7">
        <f>COUNTIFS(Presenze!$D:$D,D65,Presenze!$F:$F,"S")</f>
        <v>0</v>
      </c>
      <c r="J65" s="7">
        <f>COUNTIFS(Presenze!$D:$D,D65,Presenze!$G:$G,"&lt;&gt;")</f>
        <v>0</v>
      </c>
      <c r="K65" s="7">
        <f t="shared" si="8"/>
        <v>0</v>
      </c>
      <c r="L65" s="7">
        <v>0</v>
      </c>
      <c r="M65" s="7">
        <v>0</v>
      </c>
      <c r="N65" s="7">
        <v>0</v>
      </c>
      <c r="O65" s="2">
        <f t="shared" si="9"/>
        <v>0</v>
      </c>
      <c r="P65" t="str">
        <f t="shared" ca="1" si="10"/>
        <v>🟢</v>
      </c>
      <c r="Q65" t="str">
        <f t="shared" si="11"/>
        <v>🟢</v>
      </c>
    </row>
    <row r="66" spans="1:18" x14ac:dyDescent="0.25">
      <c r="A66">
        <v>6</v>
      </c>
      <c r="B66" t="s">
        <v>56</v>
      </c>
      <c r="C66" t="s">
        <v>143</v>
      </c>
      <c r="D66" t="s">
        <v>63</v>
      </c>
      <c r="F66" t="s">
        <v>169</v>
      </c>
      <c r="G66" s="1">
        <v>46282</v>
      </c>
      <c r="H66">
        <f>COUNTIFS(Presenze!$D:$D,D66,Presenze!$E:$E,"S")</f>
        <v>0</v>
      </c>
      <c r="I66">
        <f>COUNTIFS(Presenze!$D:$D,D66,Presenze!$F:$F,"S")</f>
        <v>0</v>
      </c>
      <c r="J66">
        <f>COUNTIFS(Presenze!$D:$D,D66,Presenze!$G:$G,"&lt;&gt;")</f>
        <v>0</v>
      </c>
      <c r="K66">
        <f>I66-J66</f>
        <v>0</v>
      </c>
      <c r="L66">
        <v>480</v>
      </c>
      <c r="M66">
        <v>15</v>
      </c>
      <c r="N66">
        <v>255</v>
      </c>
      <c r="O66" s="2">
        <f>L66+M66-N66</f>
        <v>240</v>
      </c>
      <c r="P66" t="str">
        <f ca="1">IF(OR(F66="nessuno",F66=""),"🔴",IF(AND(OR(F66="agonistico",F66="non agonistico"),G66&lt;TODAY()),"🔴",IF(AND(OR(F66="agonistico",F66="non agonistico"),G66&lt;=TODAY()+30),"🟡","🟢")))</f>
        <v>🟢</v>
      </c>
      <c r="Q66" t="str">
        <f>IF((L66+M66)&lt;=0,"🟢",IF(N66&lt;=0,"🔴",IF(O66&gt;0,"🟡","🟢")))</f>
        <v>🟡</v>
      </c>
    </row>
    <row r="67" spans="1:18" x14ac:dyDescent="0.25">
      <c r="A67">
        <v>6</v>
      </c>
      <c r="B67" t="s">
        <v>56</v>
      </c>
      <c r="C67" t="s">
        <v>143</v>
      </c>
      <c r="D67" t="s">
        <v>59</v>
      </c>
      <c r="F67" t="s">
        <v>169</v>
      </c>
      <c r="G67" s="1">
        <v>46255</v>
      </c>
      <c r="H67">
        <f>COUNTIFS(Presenze!$D:$D,D67,Presenze!$E:$E,"S")</f>
        <v>0</v>
      </c>
      <c r="I67">
        <f>COUNTIFS(Presenze!$D:$D,D67,Presenze!$F:$F,"S")</f>
        <v>0</v>
      </c>
      <c r="J67">
        <f>COUNTIFS(Presenze!$D:$D,D67,Presenze!$G:$G,"&lt;&gt;")</f>
        <v>0</v>
      </c>
      <c r="K67">
        <f>I67-J67</f>
        <v>0</v>
      </c>
      <c r="L67">
        <v>480</v>
      </c>
      <c r="M67">
        <v>15</v>
      </c>
      <c r="N67">
        <v>255</v>
      </c>
      <c r="O67" s="2">
        <f>L67+M67-N67</f>
        <v>240</v>
      </c>
      <c r="P67" t="str">
        <f ca="1">IF(OR(F67="nessuno",F67=""),"🔴",IF(AND(OR(F67="agonistico",F67="non agonistico"),G67&lt;TODAY()),"🔴",IF(AND(OR(F67="agonistico",F67="non agonistico"),G67&lt;=TODAY()+30),"🟡","🟢")))</f>
        <v>🟢</v>
      </c>
      <c r="Q67" t="str">
        <f>IF((L67+M67)&lt;=0,"🟢",IF(N67&lt;=0,"🔴",IF(O67&gt;0,"🟡","🟢")))</f>
        <v>🟡</v>
      </c>
    </row>
    <row r="68" spans="1:18" x14ac:dyDescent="0.25">
      <c r="A68">
        <v>9</v>
      </c>
      <c r="B68" t="s">
        <v>77</v>
      </c>
      <c r="C68" t="s">
        <v>145</v>
      </c>
      <c r="D68" s="7" t="s">
        <v>79</v>
      </c>
      <c r="E68" s="7"/>
      <c r="F68" s="7" t="s">
        <v>169</v>
      </c>
      <c r="G68" s="8">
        <v>46286</v>
      </c>
      <c r="H68" s="7">
        <f>COUNTIFS(Presenze!$D:$D,D68,Presenze!$E:$E,"S")</f>
        <v>0</v>
      </c>
      <c r="I68" s="7">
        <f>COUNTIFS(Presenze!$D:$D,D68,Presenze!$F:$F,"S")</f>
        <v>0</v>
      </c>
      <c r="J68" s="7">
        <f>COUNTIFS(Presenze!$D:$D,D68,Presenze!$G:$G,"&lt;&gt;")</f>
        <v>0</v>
      </c>
      <c r="K68" s="7">
        <f t="shared" si="8"/>
        <v>0</v>
      </c>
      <c r="L68" s="7">
        <v>0</v>
      </c>
      <c r="M68" s="7">
        <v>0</v>
      </c>
      <c r="N68" s="7">
        <v>0</v>
      </c>
      <c r="O68" s="2">
        <f t="shared" si="9"/>
        <v>0</v>
      </c>
      <c r="P68" t="str">
        <f t="shared" ca="1" si="10"/>
        <v>🟢</v>
      </c>
      <c r="Q68" t="str">
        <f t="shared" si="11"/>
        <v>🟢</v>
      </c>
    </row>
    <row r="69" spans="1:18" x14ac:dyDescent="0.25">
      <c r="A69">
        <v>10</v>
      </c>
      <c r="B69" t="s">
        <v>80</v>
      </c>
      <c r="C69" t="s">
        <v>143</v>
      </c>
      <c r="D69" s="7" t="s">
        <v>21</v>
      </c>
      <c r="E69" s="7"/>
      <c r="F69" s="7" t="s">
        <v>169</v>
      </c>
      <c r="G69" s="8">
        <v>46308</v>
      </c>
      <c r="H69" s="7">
        <f>COUNTIFS(Presenze!$D:$D,D69,Presenze!$E:$E,"S")</f>
        <v>0</v>
      </c>
      <c r="I69" s="7">
        <f>COUNTIFS(Presenze!$D:$D,D69,Presenze!$F:$F,"S")</f>
        <v>0</v>
      </c>
      <c r="J69" s="7">
        <f>COUNTIFS(Presenze!$D:$D,D69,Presenze!$G:$G,"&lt;&gt;")</f>
        <v>0</v>
      </c>
      <c r="K69" s="7">
        <f t="shared" ref="K69:K97" si="24">I69-J69</f>
        <v>0</v>
      </c>
      <c r="L69" s="7">
        <v>0</v>
      </c>
      <c r="M69" s="7">
        <v>0</v>
      </c>
      <c r="N69" s="7">
        <v>0</v>
      </c>
      <c r="O69" s="2">
        <f t="shared" ref="O69:O97" si="25">L69+M69-N69</f>
        <v>0</v>
      </c>
      <c r="P69" t="str">
        <f t="shared" ref="P69:P97" ca="1" si="26">IF(OR(F69="nessuno",F69=""),"🔴",IF(AND(OR(F69="agonistico",F69="non agonistico"),G69&lt;TODAY()),"🔴",IF(AND(OR(F69="agonistico",F69="non agonistico"),G69&lt;=TODAY()+30),"🟡","🟢")))</f>
        <v>🟢</v>
      </c>
      <c r="Q69" t="str">
        <f t="shared" ref="Q69:Q97" si="27">IF((L69+M69)&lt;=0,"🟢",IF(N69&lt;=0,"🔴",IF(O69&gt;0,"🟡","🟢")))</f>
        <v>🟢</v>
      </c>
    </row>
    <row r="70" spans="1:18" x14ac:dyDescent="0.25">
      <c r="A70">
        <v>10</v>
      </c>
      <c r="B70" t="s">
        <v>80</v>
      </c>
      <c r="C70" t="s">
        <v>143</v>
      </c>
      <c r="D70" t="s">
        <v>81</v>
      </c>
      <c r="F70" t="s">
        <v>169</v>
      </c>
      <c r="G70" s="1">
        <v>46360</v>
      </c>
      <c r="H70">
        <f>COUNTIFS(Presenze!$D:$D,D70,Presenze!$E:$E,"S")</f>
        <v>0</v>
      </c>
      <c r="I70">
        <f>COUNTIFS(Presenze!$D:$D,D70,Presenze!$F:$F,"S")</f>
        <v>0</v>
      </c>
      <c r="J70">
        <f>COUNTIFS(Presenze!$D:$D,D70,Presenze!$G:$G,"&lt;&gt;")</f>
        <v>0</v>
      </c>
      <c r="K70">
        <f t="shared" si="24"/>
        <v>0</v>
      </c>
      <c r="L70">
        <v>480</v>
      </c>
      <c r="M70">
        <v>15</v>
      </c>
      <c r="N70">
        <v>255</v>
      </c>
      <c r="O70" s="2">
        <f t="shared" si="25"/>
        <v>240</v>
      </c>
      <c r="P70" t="str">
        <f t="shared" ca="1" si="26"/>
        <v>🟢</v>
      </c>
      <c r="Q70" t="str">
        <f t="shared" si="27"/>
        <v>🟡</v>
      </c>
    </row>
    <row r="71" spans="1:18" x14ac:dyDescent="0.25">
      <c r="A71">
        <v>10</v>
      </c>
      <c r="B71" t="s">
        <v>80</v>
      </c>
      <c r="C71" t="s">
        <v>143</v>
      </c>
      <c r="D71" t="s">
        <v>82</v>
      </c>
      <c r="F71" t="s">
        <v>169</v>
      </c>
      <c r="G71" s="1">
        <v>46272</v>
      </c>
      <c r="H71">
        <f>COUNTIFS(Presenze!$D:$D,D71,Presenze!$E:$E,"S")</f>
        <v>0</v>
      </c>
      <c r="I71">
        <f>COUNTIFS(Presenze!$D:$D,D71,Presenze!$F:$F,"S")</f>
        <v>0</v>
      </c>
      <c r="J71">
        <f>COUNTIFS(Presenze!$D:$D,D71,Presenze!$G:$G,"&lt;&gt;")</f>
        <v>0</v>
      </c>
      <c r="K71">
        <f t="shared" si="24"/>
        <v>0</v>
      </c>
      <c r="L71">
        <v>480</v>
      </c>
      <c r="M71">
        <v>15</v>
      </c>
      <c r="N71">
        <v>255</v>
      </c>
      <c r="O71" s="2">
        <f t="shared" si="25"/>
        <v>240</v>
      </c>
      <c r="P71" t="str">
        <f t="shared" ca="1" si="26"/>
        <v>🟢</v>
      </c>
      <c r="Q71" t="str">
        <f t="shared" si="27"/>
        <v>🟡</v>
      </c>
    </row>
    <row r="72" spans="1:18" x14ac:dyDescent="0.25">
      <c r="A72">
        <v>10</v>
      </c>
      <c r="B72" t="s">
        <v>80</v>
      </c>
      <c r="C72" t="s">
        <v>143</v>
      </c>
      <c r="D72" t="s">
        <v>83</v>
      </c>
      <c r="H72">
        <f>COUNTIFS(Presenze!$D:$D,D72,Presenze!$E:$E,"S")</f>
        <v>0</v>
      </c>
      <c r="I72">
        <f>COUNTIFS(Presenze!$D:$D,D72,Presenze!$F:$F,"S")</f>
        <v>0</v>
      </c>
      <c r="J72">
        <f>COUNTIFS(Presenze!$D:$D,D72,Presenze!$G:$G,"&lt;&gt;")</f>
        <v>0</v>
      </c>
      <c r="K72">
        <f t="shared" si="24"/>
        <v>0</v>
      </c>
      <c r="L72">
        <v>480</v>
      </c>
      <c r="M72">
        <v>15</v>
      </c>
      <c r="N72">
        <v>255</v>
      </c>
      <c r="O72" s="2">
        <f t="shared" si="25"/>
        <v>240</v>
      </c>
      <c r="P72" t="str">
        <f t="shared" ca="1" si="26"/>
        <v>🔴</v>
      </c>
      <c r="Q72" t="str">
        <f t="shared" si="27"/>
        <v>🟡</v>
      </c>
    </row>
    <row r="73" spans="1:18" x14ac:dyDescent="0.25">
      <c r="A73">
        <v>10</v>
      </c>
      <c r="B73" t="s">
        <v>80</v>
      </c>
      <c r="C73" t="s">
        <v>143</v>
      </c>
      <c r="D73" t="s">
        <v>84</v>
      </c>
      <c r="F73" t="s">
        <v>168</v>
      </c>
      <c r="G73" s="1">
        <v>46283</v>
      </c>
      <c r="H73">
        <f>COUNTIFS(Presenze!$D:$D,D73,Presenze!$E:$E,"S")</f>
        <v>0</v>
      </c>
      <c r="I73">
        <f>COUNTIFS(Presenze!$D:$D,D73,Presenze!$F:$F,"S")</f>
        <v>0</v>
      </c>
      <c r="J73">
        <f>COUNTIFS(Presenze!$D:$D,D73,Presenze!$G:$G,"&lt;&gt;")</f>
        <v>0</v>
      </c>
      <c r="K73">
        <f t="shared" si="24"/>
        <v>0</v>
      </c>
      <c r="L73">
        <v>480</v>
      </c>
      <c r="M73">
        <v>15</v>
      </c>
      <c r="N73">
        <v>255</v>
      </c>
      <c r="O73" s="2">
        <f t="shared" si="25"/>
        <v>240</v>
      </c>
      <c r="P73" t="str">
        <f t="shared" ca="1" si="26"/>
        <v>🟢</v>
      </c>
      <c r="Q73" t="str">
        <f t="shared" si="27"/>
        <v>🟡</v>
      </c>
    </row>
    <row r="74" spans="1:18" x14ac:dyDescent="0.25">
      <c r="A74">
        <v>10</v>
      </c>
      <c r="B74" t="s">
        <v>80</v>
      </c>
      <c r="C74" t="s">
        <v>143</v>
      </c>
      <c r="D74" t="s">
        <v>85</v>
      </c>
      <c r="F74" t="s">
        <v>169</v>
      </c>
      <c r="G74" s="1">
        <v>46120</v>
      </c>
      <c r="H74">
        <f>COUNTIFS(Presenze!$D:$D,D74,Presenze!$E:$E,"S")</f>
        <v>0</v>
      </c>
      <c r="I74">
        <f>COUNTIFS(Presenze!$D:$D,D74,Presenze!$F:$F,"S")</f>
        <v>0</v>
      </c>
      <c r="J74">
        <f>COUNTIFS(Presenze!$D:$D,D74,Presenze!$G:$G,"&lt;&gt;")</f>
        <v>0</v>
      </c>
      <c r="K74">
        <f t="shared" si="24"/>
        <v>0</v>
      </c>
      <c r="L74">
        <v>480</v>
      </c>
      <c r="M74">
        <v>15</v>
      </c>
      <c r="N74">
        <v>255</v>
      </c>
      <c r="O74" s="2">
        <f t="shared" si="25"/>
        <v>240</v>
      </c>
      <c r="P74" t="str">
        <f t="shared" ca="1" si="26"/>
        <v>🟢</v>
      </c>
      <c r="Q74" t="str">
        <f t="shared" si="27"/>
        <v>🟡</v>
      </c>
    </row>
    <row r="75" spans="1:18" x14ac:dyDescent="0.25">
      <c r="A75">
        <v>10</v>
      </c>
      <c r="B75" t="s">
        <v>80</v>
      </c>
      <c r="C75" t="s">
        <v>143</v>
      </c>
      <c r="D75" t="s">
        <v>151</v>
      </c>
      <c r="F75" t="s">
        <v>169</v>
      </c>
      <c r="G75" s="1">
        <v>46305</v>
      </c>
      <c r="H75">
        <f>COUNTIFS(Presenze!$D:$D,D75,Presenze!$E:$E,"S")</f>
        <v>0</v>
      </c>
      <c r="I75">
        <f>COUNTIFS(Presenze!$D:$D,D75,Presenze!$F:$F,"S")</f>
        <v>0</v>
      </c>
      <c r="J75">
        <f>COUNTIFS(Presenze!$D:$D,D75,Presenze!$G:$G,"&lt;&gt;")</f>
        <v>0</v>
      </c>
      <c r="K75">
        <f t="shared" si="24"/>
        <v>0</v>
      </c>
      <c r="L75">
        <v>375</v>
      </c>
      <c r="M75">
        <v>15</v>
      </c>
      <c r="N75">
        <v>150</v>
      </c>
      <c r="O75" s="2">
        <f t="shared" si="25"/>
        <v>240</v>
      </c>
      <c r="P75" t="str">
        <f t="shared" ca="1" si="26"/>
        <v>🟢</v>
      </c>
      <c r="Q75" t="str">
        <f t="shared" si="27"/>
        <v>🟡</v>
      </c>
      <c r="R75" t="s">
        <v>152</v>
      </c>
    </row>
    <row r="76" spans="1:18" x14ac:dyDescent="0.25">
      <c r="A76">
        <v>11</v>
      </c>
      <c r="B76" t="s">
        <v>86</v>
      </c>
      <c r="C76" t="s">
        <v>143</v>
      </c>
      <c r="D76" t="s">
        <v>87</v>
      </c>
      <c r="F76" t="s">
        <v>169</v>
      </c>
      <c r="G76" s="1">
        <v>46283</v>
      </c>
      <c r="H76">
        <f>COUNTIFS(Presenze!$D:$D,D76,Presenze!$E:$E,"S")</f>
        <v>0</v>
      </c>
      <c r="I76">
        <f>COUNTIFS(Presenze!$D:$D,D76,Presenze!$F:$F,"S")</f>
        <v>0</v>
      </c>
      <c r="J76">
        <f>COUNTIFS(Presenze!$D:$D,D76,Presenze!$G:$G,"&lt;&gt;")</f>
        <v>0</v>
      </c>
      <c r="K76">
        <f t="shared" si="24"/>
        <v>0</v>
      </c>
      <c r="L76">
        <v>480</v>
      </c>
      <c r="M76">
        <v>15</v>
      </c>
      <c r="N76">
        <v>255</v>
      </c>
      <c r="O76" s="2">
        <f t="shared" si="25"/>
        <v>240</v>
      </c>
      <c r="P76" t="str">
        <f t="shared" ca="1" si="26"/>
        <v>🟢</v>
      </c>
      <c r="Q76" t="str">
        <f t="shared" si="27"/>
        <v>🟡</v>
      </c>
    </row>
    <row r="77" spans="1:18" x14ac:dyDescent="0.25">
      <c r="A77">
        <v>11</v>
      </c>
      <c r="B77" t="s">
        <v>86</v>
      </c>
      <c r="C77" t="s">
        <v>143</v>
      </c>
      <c r="D77" t="s">
        <v>88</v>
      </c>
      <c r="F77" t="s">
        <v>168</v>
      </c>
      <c r="G77" s="1">
        <v>46360</v>
      </c>
      <c r="H77">
        <f>COUNTIFS(Presenze!$D:$D,D77,Presenze!$E:$E,"S")</f>
        <v>0</v>
      </c>
      <c r="I77">
        <f>COUNTIFS(Presenze!$D:$D,D77,Presenze!$F:$F,"S")</f>
        <v>0</v>
      </c>
      <c r="J77">
        <f>COUNTIFS(Presenze!$D:$D,D77,Presenze!$G:$G,"&lt;&gt;")</f>
        <v>0</v>
      </c>
      <c r="K77">
        <f t="shared" si="24"/>
        <v>0</v>
      </c>
      <c r="L77">
        <v>480</v>
      </c>
      <c r="M77">
        <v>15</v>
      </c>
      <c r="N77">
        <v>255</v>
      </c>
      <c r="O77" s="2">
        <f t="shared" si="25"/>
        <v>240</v>
      </c>
      <c r="P77" t="str">
        <f t="shared" ca="1" si="26"/>
        <v>🟢</v>
      </c>
      <c r="Q77" t="str">
        <f t="shared" si="27"/>
        <v>🟡</v>
      </c>
    </row>
    <row r="78" spans="1:18" x14ac:dyDescent="0.25">
      <c r="A78">
        <v>11</v>
      </c>
      <c r="B78" t="s">
        <v>86</v>
      </c>
      <c r="C78" t="s">
        <v>143</v>
      </c>
      <c r="D78" t="s">
        <v>89</v>
      </c>
      <c r="F78" t="s">
        <v>169</v>
      </c>
      <c r="G78" s="1">
        <v>46109</v>
      </c>
      <c r="H78">
        <f>COUNTIFS(Presenze!$D:$D,D78,Presenze!$E:$E,"S")</f>
        <v>0</v>
      </c>
      <c r="I78">
        <f>COUNTIFS(Presenze!$D:$D,D78,Presenze!$F:$F,"S")</f>
        <v>0</v>
      </c>
      <c r="J78">
        <f>COUNTIFS(Presenze!$D:$D,D78,Presenze!$G:$G,"&lt;&gt;")</f>
        <v>0</v>
      </c>
      <c r="K78">
        <f t="shared" si="24"/>
        <v>0</v>
      </c>
      <c r="L78">
        <v>480</v>
      </c>
      <c r="M78">
        <v>15</v>
      </c>
      <c r="N78">
        <v>225</v>
      </c>
      <c r="O78" s="2">
        <f t="shared" si="25"/>
        <v>270</v>
      </c>
      <c r="P78" t="str">
        <f t="shared" ca="1" si="26"/>
        <v>🟢</v>
      </c>
      <c r="Q78" t="str">
        <f t="shared" si="27"/>
        <v>🟡</v>
      </c>
    </row>
    <row r="79" spans="1:18" x14ac:dyDescent="0.25">
      <c r="A79">
        <v>11</v>
      </c>
      <c r="B79" t="s">
        <v>86</v>
      </c>
      <c r="C79" t="s">
        <v>143</v>
      </c>
      <c r="D79" t="s">
        <v>90</v>
      </c>
      <c r="F79" t="s">
        <v>168</v>
      </c>
      <c r="G79" s="1">
        <v>46291</v>
      </c>
      <c r="H79">
        <f>COUNTIFS(Presenze!$D:$D,D79,Presenze!$E:$E,"S")</f>
        <v>0</v>
      </c>
      <c r="I79">
        <f>COUNTIFS(Presenze!$D:$D,D79,Presenze!$F:$F,"S")</f>
        <v>0</v>
      </c>
      <c r="J79">
        <f>COUNTIFS(Presenze!$D:$D,D79,Presenze!$G:$G,"&lt;&gt;")</f>
        <v>0</v>
      </c>
      <c r="K79">
        <f t="shared" si="24"/>
        <v>0</v>
      </c>
      <c r="L79">
        <v>480</v>
      </c>
      <c r="M79">
        <v>15</v>
      </c>
      <c r="N79">
        <v>255</v>
      </c>
      <c r="O79" s="2">
        <f t="shared" si="25"/>
        <v>240</v>
      </c>
      <c r="P79" t="str">
        <f t="shared" ca="1" si="26"/>
        <v>🟢</v>
      </c>
      <c r="Q79" t="str">
        <f t="shared" si="27"/>
        <v>🟡</v>
      </c>
    </row>
    <row r="80" spans="1:18" x14ac:dyDescent="0.25">
      <c r="A80">
        <v>11</v>
      </c>
      <c r="B80" t="s">
        <v>86</v>
      </c>
      <c r="C80" t="s">
        <v>143</v>
      </c>
      <c r="D80" t="s">
        <v>91</v>
      </c>
      <c r="F80" t="s">
        <v>169</v>
      </c>
      <c r="G80" s="1">
        <v>46348</v>
      </c>
      <c r="H80">
        <f>COUNTIFS(Presenze!$D:$D,D80,Presenze!$E:$E,"S")</f>
        <v>0</v>
      </c>
      <c r="I80">
        <f>COUNTIFS(Presenze!$D:$D,D80,Presenze!$F:$F,"S")</f>
        <v>0</v>
      </c>
      <c r="J80">
        <f>COUNTIFS(Presenze!$D:$D,D80,Presenze!$G:$G,"&lt;&gt;")</f>
        <v>0</v>
      </c>
      <c r="K80">
        <f t="shared" si="24"/>
        <v>0</v>
      </c>
      <c r="L80">
        <v>135</v>
      </c>
      <c r="M80">
        <v>15</v>
      </c>
      <c r="N80">
        <v>30</v>
      </c>
      <c r="O80" s="2">
        <f t="shared" si="25"/>
        <v>120</v>
      </c>
      <c r="P80" t="str">
        <f t="shared" ca="1" si="26"/>
        <v>🟢</v>
      </c>
      <c r="Q80" t="str">
        <f t="shared" si="27"/>
        <v>🟡</v>
      </c>
    </row>
    <row r="81" spans="1:18" x14ac:dyDescent="0.25">
      <c r="A81">
        <v>11</v>
      </c>
      <c r="B81" t="s">
        <v>86</v>
      </c>
      <c r="C81" t="s">
        <v>143</v>
      </c>
      <c r="D81" t="s">
        <v>92</v>
      </c>
      <c r="F81" t="s">
        <v>168</v>
      </c>
      <c r="G81" s="1">
        <v>46288</v>
      </c>
      <c r="H81">
        <f>COUNTIFS(Presenze!$D:$D,D81,Presenze!$E:$E,"S")</f>
        <v>0</v>
      </c>
      <c r="I81">
        <f>COUNTIFS(Presenze!$D:$D,D81,Presenze!$F:$F,"S")</f>
        <v>0</v>
      </c>
      <c r="J81">
        <f>COUNTIFS(Presenze!$D:$D,D81,Presenze!$G:$G,"&lt;&gt;")</f>
        <v>0</v>
      </c>
      <c r="K81">
        <f t="shared" si="24"/>
        <v>0</v>
      </c>
      <c r="L81">
        <v>480</v>
      </c>
      <c r="M81">
        <v>15</v>
      </c>
      <c r="N81">
        <v>255</v>
      </c>
      <c r="O81" s="2">
        <f t="shared" si="25"/>
        <v>240</v>
      </c>
      <c r="P81" t="str">
        <f t="shared" ca="1" si="26"/>
        <v>🟢</v>
      </c>
      <c r="Q81" t="str">
        <f t="shared" si="27"/>
        <v>🟡</v>
      </c>
    </row>
    <row r="82" spans="1:18" x14ac:dyDescent="0.25">
      <c r="A82">
        <v>12</v>
      </c>
      <c r="B82" t="s">
        <v>93</v>
      </c>
      <c r="C82" t="s">
        <v>143</v>
      </c>
      <c r="D82" t="s">
        <v>94</v>
      </c>
      <c r="F82" t="s">
        <v>169</v>
      </c>
      <c r="G82" s="1">
        <v>46286</v>
      </c>
      <c r="H82">
        <f>COUNTIFS(Presenze!$D:$D,D82,Presenze!$E:$E,"S")</f>
        <v>0</v>
      </c>
      <c r="I82">
        <f>COUNTIFS(Presenze!$D:$D,D82,Presenze!$F:$F,"S")</f>
        <v>0</v>
      </c>
      <c r="J82">
        <f>COUNTIFS(Presenze!$D:$D,D82,Presenze!$G:$G,"&lt;&gt;")</f>
        <v>0</v>
      </c>
      <c r="K82">
        <f t="shared" si="24"/>
        <v>0</v>
      </c>
      <c r="L82">
        <v>710</v>
      </c>
      <c r="M82">
        <v>15</v>
      </c>
      <c r="N82">
        <v>370</v>
      </c>
      <c r="O82" s="2">
        <f t="shared" si="25"/>
        <v>355</v>
      </c>
      <c r="P82" t="str">
        <f t="shared" ca="1" si="26"/>
        <v>🟢</v>
      </c>
      <c r="Q82" t="str">
        <f t="shared" si="27"/>
        <v>🟡</v>
      </c>
    </row>
    <row r="83" spans="1:18" x14ac:dyDescent="0.25">
      <c r="A83">
        <v>12</v>
      </c>
      <c r="B83" t="s">
        <v>93</v>
      </c>
      <c r="C83" t="s">
        <v>143</v>
      </c>
      <c r="D83" t="s">
        <v>95</v>
      </c>
      <c r="F83" t="s">
        <v>169</v>
      </c>
      <c r="G83" s="1">
        <v>46342</v>
      </c>
      <c r="H83">
        <f>COUNTIFS(Presenze!$D:$D,D83,Presenze!$E:$E,"S")</f>
        <v>0</v>
      </c>
      <c r="I83">
        <f>COUNTIFS(Presenze!$D:$D,D83,Presenze!$F:$F,"S")</f>
        <v>0</v>
      </c>
      <c r="J83">
        <f>COUNTIFS(Presenze!$D:$D,D83,Presenze!$G:$G,"&lt;&gt;")</f>
        <v>0</v>
      </c>
      <c r="K83">
        <f t="shared" si="24"/>
        <v>0</v>
      </c>
      <c r="L83">
        <v>710</v>
      </c>
      <c r="M83">
        <v>15</v>
      </c>
      <c r="N83">
        <v>343</v>
      </c>
      <c r="O83" s="2">
        <f t="shared" si="25"/>
        <v>382</v>
      </c>
      <c r="P83" t="str">
        <f t="shared" ca="1" si="26"/>
        <v>🟢</v>
      </c>
      <c r="Q83" t="str">
        <f t="shared" si="27"/>
        <v>🟡</v>
      </c>
    </row>
    <row r="84" spans="1:18" x14ac:dyDescent="0.25">
      <c r="A84">
        <v>12</v>
      </c>
      <c r="B84" t="s">
        <v>93</v>
      </c>
      <c r="C84" t="s">
        <v>143</v>
      </c>
      <c r="D84" t="s">
        <v>96</v>
      </c>
      <c r="F84" t="s">
        <v>169</v>
      </c>
      <c r="G84" s="1">
        <v>46127</v>
      </c>
      <c r="H84">
        <f>COUNTIFS(Presenze!$D:$D,D84,Presenze!$E:$E,"S")</f>
        <v>0</v>
      </c>
      <c r="I84">
        <f>COUNTIFS(Presenze!$D:$D,D84,Presenze!$F:$F,"S")</f>
        <v>0</v>
      </c>
      <c r="J84">
        <f>COUNTIFS(Presenze!$D:$D,D84,Presenze!$G:$G,"&lt;&gt;")</f>
        <v>0</v>
      </c>
      <c r="K84">
        <f t="shared" si="24"/>
        <v>0</v>
      </c>
      <c r="L84">
        <v>710</v>
      </c>
      <c r="M84">
        <v>15</v>
      </c>
      <c r="N84">
        <v>350</v>
      </c>
      <c r="O84" s="2">
        <f t="shared" si="25"/>
        <v>375</v>
      </c>
      <c r="P84" t="str">
        <f t="shared" ca="1" si="26"/>
        <v>🟢</v>
      </c>
      <c r="Q84" t="str">
        <f t="shared" si="27"/>
        <v>🟡</v>
      </c>
    </row>
    <row r="85" spans="1:18" x14ac:dyDescent="0.25">
      <c r="A85">
        <v>12</v>
      </c>
      <c r="B85" t="s">
        <v>93</v>
      </c>
      <c r="C85" t="s">
        <v>143</v>
      </c>
      <c r="D85" t="s">
        <v>97</v>
      </c>
      <c r="F85" t="s">
        <v>169</v>
      </c>
      <c r="G85" s="1">
        <v>46287</v>
      </c>
      <c r="H85">
        <f>COUNTIFS(Presenze!$D:$D,D85,Presenze!$E:$E,"S")</f>
        <v>0</v>
      </c>
      <c r="I85">
        <f>COUNTIFS(Presenze!$D:$D,D85,Presenze!$F:$F,"S")</f>
        <v>0</v>
      </c>
      <c r="J85">
        <f>COUNTIFS(Presenze!$D:$D,D85,Presenze!$G:$G,"&lt;&gt;")</f>
        <v>0</v>
      </c>
      <c r="K85">
        <f t="shared" si="24"/>
        <v>0</v>
      </c>
      <c r="L85">
        <v>710</v>
      </c>
      <c r="M85">
        <v>15</v>
      </c>
      <c r="N85">
        <v>370</v>
      </c>
      <c r="O85" s="2">
        <f t="shared" si="25"/>
        <v>355</v>
      </c>
      <c r="P85" t="str">
        <f t="shared" ca="1" si="26"/>
        <v>🟢</v>
      </c>
      <c r="Q85" t="str">
        <f t="shared" si="27"/>
        <v>🟡</v>
      </c>
    </row>
    <row r="86" spans="1:18" x14ac:dyDescent="0.25">
      <c r="A86">
        <v>13</v>
      </c>
      <c r="B86" t="s">
        <v>98</v>
      </c>
      <c r="C86" t="s">
        <v>145</v>
      </c>
      <c r="D86" t="s">
        <v>99</v>
      </c>
      <c r="F86" t="s">
        <v>168</v>
      </c>
      <c r="G86" s="1">
        <v>46350</v>
      </c>
      <c r="H86">
        <f>COUNTIFS(Presenze!$D:$D,D86,Presenze!$E:$E,"S")</f>
        <v>0</v>
      </c>
      <c r="I86">
        <f>COUNTIFS(Presenze!$D:$D,D86,Presenze!$F:$F,"S")</f>
        <v>0</v>
      </c>
      <c r="J86">
        <f>COUNTIFS(Presenze!$D:$D,D86,Presenze!$G:$G,"&lt;&gt;")</f>
        <v>0</v>
      </c>
      <c r="K86">
        <f t="shared" si="24"/>
        <v>0</v>
      </c>
      <c r="L86">
        <v>480</v>
      </c>
      <c r="M86">
        <v>15</v>
      </c>
      <c r="N86">
        <v>255</v>
      </c>
      <c r="O86" s="2">
        <f t="shared" si="25"/>
        <v>240</v>
      </c>
      <c r="P86" t="str">
        <f t="shared" ca="1" si="26"/>
        <v>🟢</v>
      </c>
      <c r="Q86" t="str">
        <f t="shared" si="27"/>
        <v>🟡</v>
      </c>
    </row>
    <row r="87" spans="1:18" x14ac:dyDescent="0.25">
      <c r="A87">
        <v>13</v>
      </c>
      <c r="B87" t="s">
        <v>98</v>
      </c>
      <c r="C87" t="s">
        <v>145</v>
      </c>
      <c r="D87" t="s">
        <v>101</v>
      </c>
      <c r="F87" t="s">
        <v>168</v>
      </c>
      <c r="G87" s="1">
        <v>46304</v>
      </c>
      <c r="H87">
        <f>COUNTIFS(Presenze!$D:$D,D87,Presenze!$E:$E,"S")</f>
        <v>0</v>
      </c>
      <c r="I87">
        <f>COUNTIFS(Presenze!$D:$D,D87,Presenze!$F:$F,"S")</f>
        <v>0</v>
      </c>
      <c r="J87">
        <f>COUNTIFS(Presenze!$D:$D,D87,Presenze!$G:$G,"&lt;&gt;")</f>
        <v>0</v>
      </c>
      <c r="K87">
        <f t="shared" si="24"/>
        <v>0</v>
      </c>
      <c r="L87">
        <v>480</v>
      </c>
      <c r="M87">
        <v>15</v>
      </c>
      <c r="N87">
        <v>255</v>
      </c>
      <c r="O87" s="2">
        <f t="shared" si="25"/>
        <v>240</v>
      </c>
      <c r="P87" t="str">
        <f t="shared" ca="1" si="26"/>
        <v>🟢</v>
      </c>
      <c r="Q87" t="str">
        <f t="shared" si="27"/>
        <v>🟡</v>
      </c>
    </row>
    <row r="88" spans="1:18" x14ac:dyDescent="0.25">
      <c r="A88">
        <v>13</v>
      </c>
      <c r="B88" t="s">
        <v>98</v>
      </c>
      <c r="C88" t="s">
        <v>145</v>
      </c>
      <c r="D88" t="s">
        <v>102</v>
      </c>
      <c r="F88" t="s">
        <v>169</v>
      </c>
      <c r="G88" s="1">
        <v>46337</v>
      </c>
      <c r="H88">
        <f>COUNTIFS(Presenze!$D:$D,D88,Presenze!$E:$E,"S")</f>
        <v>0</v>
      </c>
      <c r="I88">
        <f>COUNTIFS(Presenze!$D:$D,D88,Presenze!$F:$F,"S")</f>
        <v>0</v>
      </c>
      <c r="J88">
        <f>COUNTIFS(Presenze!$D:$D,D88,Presenze!$G:$G,"&lt;&gt;")</f>
        <v>0</v>
      </c>
      <c r="K88">
        <f t="shared" si="24"/>
        <v>0</v>
      </c>
      <c r="L88">
        <v>480</v>
      </c>
      <c r="M88">
        <v>15</v>
      </c>
      <c r="N88">
        <v>255</v>
      </c>
      <c r="O88" s="2">
        <f t="shared" si="25"/>
        <v>240</v>
      </c>
      <c r="P88" t="str">
        <f t="shared" ca="1" si="26"/>
        <v>🟢</v>
      </c>
      <c r="Q88" t="str">
        <f t="shared" si="27"/>
        <v>🟡</v>
      </c>
    </row>
    <row r="89" spans="1:18" x14ac:dyDescent="0.25">
      <c r="A89">
        <v>13</v>
      </c>
      <c r="B89" t="s">
        <v>98</v>
      </c>
      <c r="C89" t="s">
        <v>145</v>
      </c>
      <c r="D89" t="s">
        <v>103</v>
      </c>
      <c r="F89" t="s">
        <v>168</v>
      </c>
      <c r="G89" s="1">
        <v>46310</v>
      </c>
      <c r="H89">
        <f>COUNTIFS(Presenze!$D:$D,D89,Presenze!$E:$E,"S")</f>
        <v>0</v>
      </c>
      <c r="I89">
        <f>COUNTIFS(Presenze!$D:$D,D89,Presenze!$F:$F,"S")</f>
        <v>0</v>
      </c>
      <c r="J89">
        <f>COUNTIFS(Presenze!$D:$D,D89,Presenze!$G:$G,"&lt;&gt;")</f>
        <v>0</v>
      </c>
      <c r="K89">
        <f t="shared" si="24"/>
        <v>0</v>
      </c>
      <c r="L89">
        <v>480</v>
      </c>
      <c r="M89">
        <v>15</v>
      </c>
      <c r="N89">
        <v>255</v>
      </c>
      <c r="O89" s="2">
        <f t="shared" si="25"/>
        <v>240</v>
      </c>
      <c r="P89" t="str">
        <f t="shared" ca="1" si="26"/>
        <v>🟢</v>
      </c>
      <c r="Q89" t="str">
        <f t="shared" si="27"/>
        <v>🟡</v>
      </c>
    </row>
    <row r="90" spans="1:18" x14ac:dyDescent="0.25">
      <c r="A90">
        <v>13</v>
      </c>
      <c r="B90" t="s">
        <v>98</v>
      </c>
      <c r="C90" t="s">
        <v>145</v>
      </c>
      <c r="D90" t="s">
        <v>146</v>
      </c>
      <c r="H90">
        <f>COUNTIFS(Presenze!$D:$D,D90,Presenze!$E:$E,"S")</f>
        <v>0</v>
      </c>
      <c r="I90">
        <f>COUNTIFS(Presenze!$D:$D,D90,Presenze!$F:$F,"S")</f>
        <v>0</v>
      </c>
      <c r="J90">
        <f>COUNTIFS(Presenze!$D:$D,D90,Presenze!$G:$G,"&lt;&gt;")</f>
        <v>0</v>
      </c>
      <c r="K90">
        <f t="shared" si="24"/>
        <v>0</v>
      </c>
      <c r="L90">
        <v>835</v>
      </c>
      <c r="M90">
        <v>15</v>
      </c>
      <c r="N90">
        <v>405</v>
      </c>
      <c r="O90" s="2">
        <f t="shared" si="25"/>
        <v>445</v>
      </c>
      <c r="P90" t="str">
        <f t="shared" ca="1" si="26"/>
        <v>🔴</v>
      </c>
      <c r="Q90" t="str">
        <f t="shared" si="27"/>
        <v>🟡</v>
      </c>
      <c r="R90" t="s">
        <v>187</v>
      </c>
    </row>
    <row r="91" spans="1:18" x14ac:dyDescent="0.25">
      <c r="A91">
        <v>13</v>
      </c>
      <c r="B91" t="s">
        <v>98</v>
      </c>
      <c r="C91" t="s">
        <v>145</v>
      </c>
      <c r="D91" t="s">
        <v>104</v>
      </c>
      <c r="F91" t="s">
        <v>169</v>
      </c>
      <c r="G91" s="1">
        <v>46315</v>
      </c>
      <c r="H91">
        <f>COUNTIFS(Presenze!$D:$D,D91,Presenze!$E:$E,"S")</f>
        <v>0</v>
      </c>
      <c r="I91">
        <f>COUNTIFS(Presenze!$D:$D,D91,Presenze!$F:$F,"S")</f>
        <v>0</v>
      </c>
      <c r="J91">
        <f>COUNTIFS(Presenze!$D:$D,D91,Presenze!$G:$G,"&lt;&gt;")</f>
        <v>0</v>
      </c>
      <c r="K91">
        <f t="shared" si="24"/>
        <v>0</v>
      </c>
      <c r="L91">
        <v>480</v>
      </c>
      <c r="M91">
        <v>15</v>
      </c>
      <c r="N91">
        <v>255</v>
      </c>
      <c r="O91" s="2">
        <f t="shared" si="25"/>
        <v>240</v>
      </c>
      <c r="P91" t="str">
        <f t="shared" ca="1" si="26"/>
        <v>🟢</v>
      </c>
      <c r="Q91" t="str">
        <f t="shared" si="27"/>
        <v>🟡</v>
      </c>
    </row>
    <row r="92" spans="1:18" x14ac:dyDescent="0.25">
      <c r="A92">
        <v>13</v>
      </c>
      <c r="B92" t="s">
        <v>98</v>
      </c>
      <c r="C92" t="s">
        <v>145</v>
      </c>
      <c r="D92" t="s">
        <v>105</v>
      </c>
      <c r="F92" t="s">
        <v>168</v>
      </c>
      <c r="G92" s="1">
        <v>46146</v>
      </c>
      <c r="H92">
        <f>COUNTIFS(Presenze!$D:$D,D92,Presenze!$E:$E,"S")</f>
        <v>0</v>
      </c>
      <c r="I92">
        <f>COUNTIFS(Presenze!$D:$D,D92,Presenze!$F:$F,"S")</f>
        <v>0</v>
      </c>
      <c r="J92">
        <f>COUNTIFS(Presenze!$D:$D,D92,Presenze!$G:$G,"&lt;&gt;")</f>
        <v>0</v>
      </c>
      <c r="K92">
        <f t="shared" si="24"/>
        <v>0</v>
      </c>
      <c r="L92">
        <v>480</v>
      </c>
      <c r="M92">
        <v>15</v>
      </c>
      <c r="N92">
        <v>255</v>
      </c>
      <c r="O92" s="2">
        <f t="shared" si="25"/>
        <v>240</v>
      </c>
      <c r="P92" t="str">
        <f t="shared" ca="1" si="26"/>
        <v>🟢</v>
      </c>
      <c r="Q92" t="str">
        <f t="shared" si="27"/>
        <v>🟡</v>
      </c>
    </row>
    <row r="93" spans="1:18" x14ac:dyDescent="0.25">
      <c r="A93">
        <v>13</v>
      </c>
      <c r="B93" t="s">
        <v>98</v>
      </c>
      <c r="C93" t="s">
        <v>145</v>
      </c>
      <c r="D93" t="s">
        <v>106</v>
      </c>
      <c r="F93" t="s">
        <v>168</v>
      </c>
      <c r="G93" s="1">
        <v>46324</v>
      </c>
      <c r="H93">
        <f>COUNTIFS(Presenze!$D:$D,D93,Presenze!$E:$E,"S")</f>
        <v>0</v>
      </c>
      <c r="I93">
        <f>COUNTIFS(Presenze!$D:$D,D93,Presenze!$F:$F,"S")</f>
        <v>0</v>
      </c>
      <c r="J93">
        <f>COUNTIFS(Presenze!$D:$D,D93,Presenze!$G:$G,"&lt;&gt;")</f>
        <v>0</v>
      </c>
      <c r="K93">
        <f t="shared" si="24"/>
        <v>0</v>
      </c>
      <c r="L93">
        <v>480</v>
      </c>
      <c r="M93">
        <v>15</v>
      </c>
      <c r="N93">
        <v>255</v>
      </c>
      <c r="O93" s="2">
        <f t="shared" si="25"/>
        <v>240</v>
      </c>
      <c r="P93" t="str">
        <f t="shared" ca="1" si="26"/>
        <v>🟢</v>
      </c>
      <c r="Q93" t="str">
        <f t="shared" si="27"/>
        <v>🟡</v>
      </c>
    </row>
    <row r="94" spans="1:18" x14ac:dyDescent="0.25">
      <c r="A94">
        <v>14</v>
      </c>
      <c r="B94" t="s">
        <v>107</v>
      </c>
      <c r="C94" t="s">
        <v>144</v>
      </c>
      <c r="D94" t="s">
        <v>110</v>
      </c>
      <c r="F94" t="s">
        <v>168</v>
      </c>
      <c r="G94" s="1">
        <v>46351</v>
      </c>
      <c r="H94">
        <f>COUNTIFS(Presenze!$D:$D,D94,Presenze!$E:$E,"S")</f>
        <v>0</v>
      </c>
      <c r="I94">
        <f>COUNTIFS(Presenze!$D:$D,D94,Presenze!$F:$F,"S")</f>
        <v>0</v>
      </c>
      <c r="J94">
        <f>COUNTIFS(Presenze!$D:$D,D94,Presenze!$G:$G,"&lt;&gt;")</f>
        <v>0</v>
      </c>
      <c r="K94">
        <f t="shared" si="24"/>
        <v>0</v>
      </c>
      <c r="L94">
        <v>480</v>
      </c>
      <c r="M94">
        <v>15</v>
      </c>
      <c r="N94">
        <v>255</v>
      </c>
      <c r="O94" s="2">
        <f t="shared" si="25"/>
        <v>240</v>
      </c>
      <c r="P94" t="str">
        <f t="shared" ca="1" si="26"/>
        <v>🟢</v>
      </c>
      <c r="Q94" t="str">
        <f t="shared" si="27"/>
        <v>🟡</v>
      </c>
    </row>
    <row r="95" spans="1:18" x14ac:dyDescent="0.25">
      <c r="A95">
        <v>14</v>
      </c>
      <c r="B95" t="s">
        <v>107</v>
      </c>
      <c r="C95" t="s">
        <v>144</v>
      </c>
      <c r="D95" t="s">
        <v>112</v>
      </c>
      <c r="F95" t="s">
        <v>168</v>
      </c>
      <c r="G95" s="1">
        <v>46184</v>
      </c>
      <c r="H95">
        <f>COUNTIFS(Presenze!$D:$D,D95,Presenze!$E:$E,"S")</f>
        <v>0</v>
      </c>
      <c r="I95">
        <f>COUNTIFS(Presenze!$D:$D,D95,Presenze!$F:$F,"S")</f>
        <v>0</v>
      </c>
      <c r="J95">
        <f>COUNTIFS(Presenze!$D:$D,D95,Presenze!$G:$G,"&lt;&gt;")</f>
        <v>0</v>
      </c>
      <c r="K95">
        <f t="shared" si="24"/>
        <v>0</v>
      </c>
      <c r="L95">
        <v>390</v>
      </c>
      <c r="M95">
        <v>15</v>
      </c>
      <c r="N95">
        <v>75</v>
      </c>
      <c r="O95" s="2">
        <f t="shared" si="25"/>
        <v>330</v>
      </c>
      <c r="P95" t="str">
        <f t="shared" ca="1" si="26"/>
        <v>🟢</v>
      </c>
      <c r="Q95" t="str">
        <f t="shared" si="27"/>
        <v>🟡</v>
      </c>
    </row>
    <row r="96" spans="1:18" x14ac:dyDescent="0.25">
      <c r="A96">
        <v>14</v>
      </c>
      <c r="B96" t="s">
        <v>107</v>
      </c>
      <c r="C96" t="s">
        <v>144</v>
      </c>
      <c r="D96" t="s">
        <v>177</v>
      </c>
      <c r="G96" s="1"/>
      <c r="H96">
        <f>COUNTIFS(Presenze!$D:$D,D96,Presenze!$E:$E,"S")</f>
        <v>0</v>
      </c>
      <c r="I96">
        <f>COUNTIFS(Presenze!$D:$D,D96,Presenze!$F:$F,"S")</f>
        <v>0</v>
      </c>
      <c r="J96">
        <f>COUNTIFS(Presenze!$D:$D,D96,Presenze!$G:$G,"&lt;&gt;")</f>
        <v>0</v>
      </c>
      <c r="K96">
        <f t="shared" si="24"/>
        <v>0</v>
      </c>
      <c r="L96">
        <v>240</v>
      </c>
      <c r="M96">
        <v>15</v>
      </c>
      <c r="N96">
        <v>0</v>
      </c>
      <c r="O96" s="2">
        <f t="shared" si="25"/>
        <v>255</v>
      </c>
      <c r="P96" t="str">
        <f t="shared" ca="1" si="26"/>
        <v>🔴</v>
      </c>
      <c r="Q96" t="str">
        <f t="shared" si="27"/>
        <v>🔴</v>
      </c>
    </row>
    <row r="97" spans="1:18" x14ac:dyDescent="0.25">
      <c r="A97">
        <v>14</v>
      </c>
      <c r="B97" t="s">
        <v>107</v>
      </c>
      <c r="C97" t="s">
        <v>144</v>
      </c>
      <c r="D97" t="s">
        <v>178</v>
      </c>
      <c r="G97" s="1"/>
      <c r="H97">
        <f>COUNTIFS(Presenze!$D:$D,D97,Presenze!$E:$E,"S")</f>
        <v>0</v>
      </c>
      <c r="I97">
        <f>COUNTIFS(Presenze!$D:$D,D97,Presenze!$F:$F,"S")</f>
        <v>0</v>
      </c>
      <c r="J97">
        <f>COUNTIFS(Presenze!$D:$D,D97,Presenze!$G:$G,"&lt;&gt;")</f>
        <v>0</v>
      </c>
      <c r="K97">
        <f t="shared" si="24"/>
        <v>0</v>
      </c>
      <c r="L97">
        <v>240</v>
      </c>
      <c r="M97">
        <v>15</v>
      </c>
      <c r="N97">
        <v>0</v>
      </c>
      <c r="O97" s="2">
        <f t="shared" si="25"/>
        <v>255</v>
      </c>
      <c r="P97" t="str">
        <f t="shared" ca="1" si="26"/>
        <v>🔴</v>
      </c>
      <c r="Q97" t="str">
        <f t="shared" si="27"/>
        <v>🔴</v>
      </c>
    </row>
    <row r="98" spans="1:18" x14ac:dyDescent="0.25">
      <c r="A98">
        <v>14</v>
      </c>
      <c r="B98" t="s">
        <v>107</v>
      </c>
      <c r="C98" t="s">
        <v>144</v>
      </c>
      <c r="D98" t="s">
        <v>119</v>
      </c>
      <c r="F98" t="s">
        <v>168</v>
      </c>
      <c r="G98" s="1">
        <v>46184</v>
      </c>
      <c r="H98">
        <f>COUNTIFS(Presenze!$D:$D,D98,Presenze!$E:$E,"S")</f>
        <v>0</v>
      </c>
      <c r="I98">
        <f>COUNTIFS(Presenze!$D:$D,D98,Presenze!$F:$F,"S")</f>
        <v>0</v>
      </c>
      <c r="J98">
        <f>COUNTIFS(Presenze!$D:$D,D98,Presenze!$G:$G,"&lt;&gt;")</f>
        <v>0</v>
      </c>
      <c r="K98">
        <f t="shared" ref="K98:K130" si="28">I98-J98</f>
        <v>0</v>
      </c>
      <c r="L98">
        <v>480</v>
      </c>
      <c r="M98">
        <v>15</v>
      </c>
      <c r="N98">
        <v>255</v>
      </c>
      <c r="O98" s="2">
        <f t="shared" ref="O98:O128" si="29">L98+M98-N98</f>
        <v>240</v>
      </c>
      <c r="P98" t="str">
        <f t="shared" ref="P98:P130" ca="1" si="30">IF(OR(F98="nessuno",F98=""),"🔴",IF(AND(OR(F98="agonistico",F98="non agonistico"),G98&lt;TODAY()),"🔴",IF(AND(OR(F98="agonistico",F98="non agonistico"),G98&lt;=TODAY()+30),"🟡","🟢")))</f>
        <v>🟢</v>
      </c>
      <c r="Q98" t="str">
        <f t="shared" ref="Q98:Q130" si="31">IF((L98+M98)&lt;=0,"🟢",IF(N98&lt;=0,"🔴",IF(O98&gt;0,"🟡","🟢")))</f>
        <v>🟡</v>
      </c>
    </row>
    <row r="99" spans="1:18" x14ac:dyDescent="0.25">
      <c r="A99">
        <v>14</v>
      </c>
      <c r="B99" t="s">
        <v>107</v>
      </c>
      <c r="C99" t="s">
        <v>144</v>
      </c>
      <c r="D99" t="s">
        <v>180</v>
      </c>
      <c r="H99">
        <f>COUNTIFS(Presenze!$D:$D,D99,Presenze!$E:$E,"S")</f>
        <v>0</v>
      </c>
      <c r="I99">
        <f>COUNTIFS(Presenze!$D:$D,D99,Presenze!$F:$F,"S")</f>
        <v>0</v>
      </c>
      <c r="J99">
        <f>COUNTIFS(Presenze!$D:$D,D99,Presenze!$G:$G,"&lt;&gt;")</f>
        <v>0</v>
      </c>
      <c r="K99">
        <f t="shared" ref="K99" si="32">I99-J99</f>
        <v>0</v>
      </c>
      <c r="L99">
        <v>240</v>
      </c>
      <c r="M99">
        <v>15</v>
      </c>
      <c r="N99">
        <v>255</v>
      </c>
      <c r="O99" s="2">
        <f t="shared" ref="O99" si="33">L99+M99-N99</f>
        <v>0</v>
      </c>
      <c r="P99" t="str">
        <f t="shared" ref="P99" ca="1" si="34">IF(OR(F99="nessuno",F99=""),"🔴",IF(AND(OR(F99="agonistico",F99="non agonistico"),G99&lt;TODAY()),"🔴",IF(AND(OR(F99="agonistico",F99="non agonistico"),G99&lt;=TODAY()+30),"🟡","🟢")))</f>
        <v>🔴</v>
      </c>
      <c r="Q99" t="str">
        <f t="shared" ref="Q99" si="35">IF((L99+M99)&lt;=0,"🟢",IF(N99&lt;=0,"🔴",IF(O99&gt;0,"🟡","🟢")))</f>
        <v>🟢</v>
      </c>
    </row>
    <row r="100" spans="1:18" x14ac:dyDescent="0.25">
      <c r="A100">
        <v>14</v>
      </c>
      <c r="B100" t="s">
        <v>107</v>
      </c>
      <c r="C100" t="s">
        <v>144</v>
      </c>
      <c r="D100" t="s">
        <v>153</v>
      </c>
      <c r="F100" t="s">
        <v>168</v>
      </c>
      <c r="G100" s="1">
        <v>46162</v>
      </c>
      <c r="H100">
        <f>COUNTIFS(Presenze!$D:$D,D100,Presenze!$E:$E,"S")</f>
        <v>0</v>
      </c>
      <c r="I100">
        <f>COUNTIFS(Presenze!$D:$D,D100,Presenze!$F:$F,"S")</f>
        <v>0</v>
      </c>
      <c r="J100">
        <f>COUNTIFS(Presenze!$D:$D,D100,Presenze!$G:$G,"&lt;&gt;")</f>
        <v>0</v>
      </c>
      <c r="K100">
        <f t="shared" ref="K100" si="36">I100-J100</f>
        <v>0</v>
      </c>
      <c r="L100">
        <v>240</v>
      </c>
      <c r="M100">
        <v>15</v>
      </c>
      <c r="N100">
        <v>255</v>
      </c>
      <c r="O100" s="2">
        <f t="shared" ref="O100" si="37">L100+M100-N100</f>
        <v>0</v>
      </c>
      <c r="P100" t="str">
        <f t="shared" ref="P100" ca="1" si="38">IF(OR(F100="nessuno",F100=""),"🔴",IF(AND(OR(F100="agonistico",F100="non agonistico"),G100&lt;TODAY()),"🔴",IF(AND(OR(F100="agonistico",F100="non agonistico"),G100&lt;=TODAY()+30),"🟡","🟢")))</f>
        <v>🟢</v>
      </c>
      <c r="Q100" t="str">
        <f t="shared" ref="Q100" si="39">IF((L100+M100)&lt;=0,"🟢",IF(N100&lt;=0,"🔴",IF(O100&gt;0,"🟡","🟢")))</f>
        <v>🟢</v>
      </c>
      <c r="R100" t="s">
        <v>187</v>
      </c>
    </row>
    <row r="101" spans="1:18" x14ac:dyDescent="0.25">
      <c r="A101">
        <v>14</v>
      </c>
      <c r="B101" t="s">
        <v>107</v>
      </c>
      <c r="C101" t="s">
        <v>144</v>
      </c>
      <c r="D101" t="s">
        <v>179</v>
      </c>
      <c r="H101">
        <f>COUNTIFS(Presenze!$D:$D,D101,Presenze!$E:$E,"S")</f>
        <v>0</v>
      </c>
      <c r="I101">
        <f>COUNTIFS(Presenze!$D:$D,D101,Presenze!$F:$F,"S")</f>
        <v>0</v>
      </c>
      <c r="J101">
        <f>COUNTIFS(Presenze!$D:$D,D101,Presenze!$G:$G,"&lt;&gt;")</f>
        <v>0</v>
      </c>
      <c r="K101">
        <f t="shared" si="28"/>
        <v>0</v>
      </c>
      <c r="L101">
        <v>240</v>
      </c>
      <c r="M101">
        <v>15</v>
      </c>
      <c r="N101">
        <v>255</v>
      </c>
      <c r="O101" s="2">
        <f t="shared" si="29"/>
        <v>0</v>
      </c>
      <c r="P101" t="str">
        <f t="shared" ca="1" si="30"/>
        <v>🔴</v>
      </c>
      <c r="Q101" t="str">
        <f t="shared" si="31"/>
        <v>🟢</v>
      </c>
    </row>
    <row r="102" spans="1:18" x14ac:dyDescent="0.25">
      <c r="A102">
        <v>15</v>
      </c>
      <c r="B102" t="s">
        <v>114</v>
      </c>
      <c r="C102" t="s">
        <v>84</v>
      </c>
      <c r="D102" t="s">
        <v>115</v>
      </c>
      <c r="F102" t="s">
        <v>169</v>
      </c>
      <c r="G102" s="1">
        <v>46281</v>
      </c>
      <c r="H102">
        <f>COUNTIFS(Presenze!$D:$D,D102,Presenze!$E:$E,"S")</f>
        <v>0</v>
      </c>
      <c r="I102">
        <f>COUNTIFS(Presenze!$D:$D,D102,Presenze!$F:$F,"S")</f>
        <v>0</v>
      </c>
      <c r="J102">
        <f>COUNTIFS(Presenze!$D:$D,D102,Presenze!$G:$G,"&lt;&gt;")</f>
        <v>0</v>
      </c>
      <c r="K102">
        <f t="shared" si="28"/>
        <v>0</v>
      </c>
      <c r="L102">
        <v>480</v>
      </c>
      <c r="M102">
        <v>15</v>
      </c>
      <c r="N102">
        <v>255</v>
      </c>
      <c r="O102" s="2">
        <f t="shared" si="29"/>
        <v>240</v>
      </c>
      <c r="P102" t="str">
        <f t="shared" ca="1" si="30"/>
        <v>🟢</v>
      </c>
      <c r="Q102" t="str">
        <f t="shared" si="31"/>
        <v>🟡</v>
      </c>
    </row>
    <row r="103" spans="1:18" x14ac:dyDescent="0.25">
      <c r="A103">
        <v>15</v>
      </c>
      <c r="B103" t="s">
        <v>114</v>
      </c>
      <c r="C103" t="s">
        <v>84</v>
      </c>
      <c r="D103" t="s">
        <v>116</v>
      </c>
      <c r="F103" t="s">
        <v>169</v>
      </c>
      <c r="G103" s="1">
        <v>46301</v>
      </c>
      <c r="H103">
        <f>COUNTIFS(Presenze!$D:$D,D103,Presenze!$E:$E,"S")</f>
        <v>0</v>
      </c>
      <c r="I103">
        <f>COUNTIFS(Presenze!$D:$D,D103,Presenze!$F:$F,"S")</f>
        <v>0</v>
      </c>
      <c r="J103">
        <f>COUNTIFS(Presenze!$D:$D,D103,Presenze!$G:$G,"&lt;&gt;")</f>
        <v>0</v>
      </c>
      <c r="K103">
        <f t="shared" si="28"/>
        <v>0</v>
      </c>
      <c r="L103">
        <v>480</v>
      </c>
      <c r="M103">
        <v>15</v>
      </c>
      <c r="N103">
        <v>255</v>
      </c>
      <c r="O103" s="2">
        <f t="shared" si="29"/>
        <v>240</v>
      </c>
      <c r="P103" t="str">
        <f t="shared" ca="1" si="30"/>
        <v>🟢</v>
      </c>
      <c r="Q103" t="str">
        <f t="shared" si="31"/>
        <v>🟡</v>
      </c>
    </row>
    <row r="104" spans="1:18" x14ac:dyDescent="0.25">
      <c r="A104">
        <v>15</v>
      </c>
      <c r="B104" t="s">
        <v>114</v>
      </c>
      <c r="C104" t="s">
        <v>84</v>
      </c>
      <c r="D104" t="s">
        <v>117</v>
      </c>
      <c r="F104" t="s">
        <v>169</v>
      </c>
      <c r="G104" s="1">
        <v>46301</v>
      </c>
      <c r="H104">
        <f>COUNTIFS(Presenze!$D:$D,D104,Presenze!$E:$E,"S")</f>
        <v>0</v>
      </c>
      <c r="I104">
        <f>COUNTIFS(Presenze!$D:$D,D104,Presenze!$F:$F,"S")</f>
        <v>0</v>
      </c>
      <c r="J104">
        <f>COUNTIFS(Presenze!$D:$D,D104,Presenze!$G:$G,"&lt;&gt;")</f>
        <v>0</v>
      </c>
      <c r="K104">
        <f t="shared" si="28"/>
        <v>0</v>
      </c>
      <c r="L104">
        <v>480</v>
      </c>
      <c r="M104">
        <v>15</v>
      </c>
      <c r="N104">
        <v>255</v>
      </c>
      <c r="O104" s="2">
        <f t="shared" si="29"/>
        <v>240</v>
      </c>
      <c r="P104" t="str">
        <f t="shared" ca="1" si="30"/>
        <v>🟢</v>
      </c>
      <c r="Q104" t="str">
        <f t="shared" si="31"/>
        <v>🟡</v>
      </c>
    </row>
    <row r="105" spans="1:18" x14ac:dyDescent="0.25">
      <c r="A105">
        <v>15</v>
      </c>
      <c r="B105" t="s">
        <v>114</v>
      </c>
      <c r="C105" t="s">
        <v>84</v>
      </c>
      <c r="D105" t="s">
        <v>118</v>
      </c>
      <c r="F105" t="s">
        <v>169</v>
      </c>
      <c r="G105" s="1">
        <v>46048</v>
      </c>
      <c r="H105">
        <f>COUNTIFS(Presenze!$D:$D,D105,Presenze!$E:$E,"S")</f>
        <v>0</v>
      </c>
      <c r="I105">
        <f>COUNTIFS(Presenze!$D:$D,D105,Presenze!$F:$F,"S")</f>
        <v>0</v>
      </c>
      <c r="J105">
        <f>COUNTIFS(Presenze!$D:$D,D105,Presenze!$G:$G,"&lt;&gt;")</f>
        <v>0</v>
      </c>
      <c r="K105">
        <f t="shared" si="28"/>
        <v>0</v>
      </c>
      <c r="L105">
        <v>480</v>
      </c>
      <c r="M105">
        <v>15</v>
      </c>
      <c r="N105">
        <v>255</v>
      </c>
      <c r="O105" s="2">
        <f t="shared" si="29"/>
        <v>240</v>
      </c>
      <c r="P105" t="str">
        <f t="shared" ca="1" si="30"/>
        <v>🟡</v>
      </c>
      <c r="Q105" t="str">
        <f t="shared" si="31"/>
        <v>🟡</v>
      </c>
    </row>
    <row r="106" spans="1:18" x14ac:dyDescent="0.25">
      <c r="A106">
        <v>15</v>
      </c>
      <c r="B106" t="s">
        <v>114</v>
      </c>
      <c r="C106" t="s">
        <v>84</v>
      </c>
      <c r="D106" t="s">
        <v>120</v>
      </c>
      <c r="H106">
        <f>COUNTIFS(Presenze!$D:$D,D106,Presenze!$E:$E,"S")</f>
        <v>0</v>
      </c>
      <c r="I106">
        <f>COUNTIFS(Presenze!$D:$D,D106,Presenze!$F:$F,"S")</f>
        <v>0</v>
      </c>
      <c r="J106">
        <f>COUNTIFS(Presenze!$D:$D,D106,Presenze!$G:$G,"&lt;&gt;")</f>
        <v>0</v>
      </c>
      <c r="K106">
        <f t="shared" si="28"/>
        <v>0</v>
      </c>
      <c r="L106">
        <v>480</v>
      </c>
      <c r="M106">
        <v>15</v>
      </c>
      <c r="N106">
        <v>255</v>
      </c>
      <c r="O106" s="2">
        <f t="shared" si="29"/>
        <v>240</v>
      </c>
      <c r="P106" t="str">
        <f t="shared" ca="1" si="30"/>
        <v>🔴</v>
      </c>
      <c r="Q106" t="str">
        <f t="shared" si="31"/>
        <v>🟡</v>
      </c>
    </row>
    <row r="107" spans="1:18" x14ac:dyDescent="0.25">
      <c r="A107">
        <v>15</v>
      </c>
      <c r="B107" t="s">
        <v>114</v>
      </c>
      <c r="C107" t="s">
        <v>84</v>
      </c>
      <c r="D107" t="s">
        <v>121</v>
      </c>
      <c r="F107" t="s">
        <v>169</v>
      </c>
      <c r="G107" s="1">
        <v>46260</v>
      </c>
      <c r="H107">
        <f>COUNTIFS(Presenze!$D:$D,D107,Presenze!$E:$E,"S")</f>
        <v>0</v>
      </c>
      <c r="I107">
        <f>COUNTIFS(Presenze!$D:$D,D107,Presenze!$F:$F,"S")</f>
        <v>0</v>
      </c>
      <c r="J107">
        <f>COUNTIFS(Presenze!$D:$D,D107,Presenze!$G:$G,"&lt;&gt;")</f>
        <v>0</v>
      </c>
      <c r="K107">
        <f t="shared" si="28"/>
        <v>0</v>
      </c>
      <c r="L107">
        <v>480</v>
      </c>
      <c r="M107">
        <v>15</v>
      </c>
      <c r="N107">
        <v>255</v>
      </c>
      <c r="O107" s="2">
        <f t="shared" si="29"/>
        <v>240</v>
      </c>
      <c r="P107" t="str">
        <f t="shared" ca="1" si="30"/>
        <v>🟢</v>
      </c>
      <c r="Q107" t="str">
        <f t="shared" si="31"/>
        <v>🟡</v>
      </c>
    </row>
    <row r="108" spans="1:18" x14ac:dyDescent="0.25">
      <c r="A108">
        <v>16</v>
      </c>
      <c r="B108" t="s">
        <v>122</v>
      </c>
      <c r="C108" t="s">
        <v>54</v>
      </c>
      <c r="D108" s="7" t="s">
        <v>37</v>
      </c>
      <c r="E108" s="7"/>
      <c r="F108" s="7" t="s">
        <v>168</v>
      </c>
      <c r="G108" s="8">
        <v>46292</v>
      </c>
      <c r="H108" s="7">
        <f>COUNTIFS(Presenze!$D:$D,D108,Presenze!$E:$E,"S")</f>
        <v>0</v>
      </c>
      <c r="I108" s="7">
        <f>COUNTIFS(Presenze!$D:$D,D108,Presenze!$F:$F,"S")</f>
        <v>0</v>
      </c>
      <c r="J108" s="7">
        <f>COUNTIFS(Presenze!$D:$D,D108,Presenze!$G:$G,"&lt;&gt;")</f>
        <v>0</v>
      </c>
      <c r="K108" s="7">
        <f t="shared" si="28"/>
        <v>0</v>
      </c>
      <c r="L108" s="7">
        <v>0</v>
      </c>
      <c r="M108" s="7">
        <v>0</v>
      </c>
      <c r="N108" s="7">
        <v>0</v>
      </c>
      <c r="O108" s="2">
        <f t="shared" si="29"/>
        <v>0</v>
      </c>
      <c r="P108" t="str">
        <f t="shared" ca="1" si="30"/>
        <v>🟢</v>
      </c>
      <c r="Q108" t="str">
        <f t="shared" si="31"/>
        <v>🟢</v>
      </c>
    </row>
    <row r="109" spans="1:18" x14ac:dyDescent="0.25">
      <c r="A109">
        <v>16</v>
      </c>
      <c r="B109" t="s">
        <v>122</v>
      </c>
      <c r="C109" t="s">
        <v>54</v>
      </c>
      <c r="D109" t="s">
        <v>124</v>
      </c>
      <c r="F109" t="s">
        <v>169</v>
      </c>
      <c r="G109" s="1">
        <v>46267</v>
      </c>
      <c r="H109">
        <f>COUNTIFS(Presenze!$D:$D,D109,Presenze!$E:$E,"S")</f>
        <v>0</v>
      </c>
      <c r="I109">
        <f>COUNTIFS(Presenze!$D:$D,D109,Presenze!$F:$F,"S")</f>
        <v>0</v>
      </c>
      <c r="J109">
        <f>COUNTIFS(Presenze!$D:$D,D109,Presenze!$G:$G,"&lt;&gt;")</f>
        <v>0</v>
      </c>
      <c r="K109">
        <f t="shared" si="28"/>
        <v>0</v>
      </c>
      <c r="L109">
        <v>480</v>
      </c>
      <c r="M109">
        <v>15</v>
      </c>
      <c r="N109">
        <v>255</v>
      </c>
      <c r="O109" s="2">
        <f t="shared" si="29"/>
        <v>240</v>
      </c>
      <c r="P109" t="str">
        <f t="shared" ca="1" si="30"/>
        <v>🟢</v>
      </c>
      <c r="Q109" t="str">
        <f t="shared" si="31"/>
        <v>🟡</v>
      </c>
    </row>
    <row r="110" spans="1:18" x14ac:dyDescent="0.25">
      <c r="A110">
        <v>16</v>
      </c>
      <c r="B110" t="s">
        <v>122</v>
      </c>
      <c r="C110" t="s">
        <v>54</v>
      </c>
      <c r="D110" s="7" t="s">
        <v>51</v>
      </c>
      <c r="E110" s="7"/>
      <c r="F110" s="7" t="s">
        <v>169</v>
      </c>
      <c r="G110" s="8">
        <v>46058</v>
      </c>
      <c r="H110" s="7">
        <f>COUNTIFS(Presenze!$D:$D,D110,Presenze!$E:$E,"S")</f>
        <v>0</v>
      </c>
      <c r="I110" s="7">
        <f>COUNTIFS(Presenze!$D:$D,D110,Presenze!$F:$F,"S")</f>
        <v>0</v>
      </c>
      <c r="J110" s="7">
        <f>COUNTIFS(Presenze!$D:$D,D110,Presenze!$G:$G,"&lt;&gt;")</f>
        <v>0</v>
      </c>
      <c r="K110" s="7">
        <f t="shared" si="28"/>
        <v>0</v>
      </c>
      <c r="L110" s="7">
        <v>0</v>
      </c>
      <c r="M110" s="7">
        <v>0</v>
      </c>
      <c r="N110" s="7">
        <v>0</v>
      </c>
      <c r="O110" s="2">
        <f t="shared" si="29"/>
        <v>0</v>
      </c>
      <c r="P110" t="str">
        <f t="shared" ca="1" si="30"/>
        <v>🟡</v>
      </c>
      <c r="Q110" t="str">
        <f t="shared" si="31"/>
        <v>🟢</v>
      </c>
    </row>
    <row r="111" spans="1:18" x14ac:dyDescent="0.25">
      <c r="A111">
        <v>16</v>
      </c>
      <c r="B111" t="s">
        <v>122</v>
      </c>
      <c r="C111" t="s">
        <v>54</v>
      </c>
      <c r="D111" t="s">
        <v>126</v>
      </c>
      <c r="F111" t="s">
        <v>168</v>
      </c>
      <c r="G111" s="1">
        <v>46401</v>
      </c>
      <c r="H111">
        <f>COUNTIFS(Presenze!$D:$D,D111,Presenze!$E:$E,"S")</f>
        <v>0</v>
      </c>
      <c r="I111">
        <f>COUNTIFS(Presenze!$D:$D,D111,Presenze!$F:$F,"S")</f>
        <v>0</v>
      </c>
      <c r="J111">
        <f>COUNTIFS(Presenze!$D:$D,D111,Presenze!$G:$G,"&lt;&gt;")</f>
        <v>0</v>
      </c>
      <c r="K111">
        <f t="shared" si="28"/>
        <v>0</v>
      </c>
      <c r="L111">
        <v>480</v>
      </c>
      <c r="M111">
        <v>15</v>
      </c>
      <c r="N111">
        <v>255</v>
      </c>
      <c r="O111" s="2">
        <f t="shared" si="29"/>
        <v>240</v>
      </c>
      <c r="P111" t="str">
        <f t="shared" ca="1" si="30"/>
        <v>🟢</v>
      </c>
      <c r="Q111" t="str">
        <f t="shared" si="31"/>
        <v>🟡</v>
      </c>
    </row>
    <row r="112" spans="1:18" x14ac:dyDescent="0.25">
      <c r="A112">
        <v>16</v>
      </c>
      <c r="B112" t="s">
        <v>122</v>
      </c>
      <c r="C112" t="s">
        <v>54</v>
      </c>
      <c r="D112" t="s">
        <v>185</v>
      </c>
      <c r="G112" s="1"/>
      <c r="H112">
        <f>COUNTIFS(Presenze!$D:$D,D112,Presenze!$E:$E,"S")</f>
        <v>0</v>
      </c>
      <c r="I112">
        <f>COUNTIFS(Presenze!$D:$D,D112,Presenze!$F:$F,"S")</f>
        <v>0</v>
      </c>
      <c r="J112">
        <f>COUNTIFS(Presenze!$D:$D,D112,Presenze!$G:$G,"&lt;&gt;")</f>
        <v>0</v>
      </c>
      <c r="K112">
        <f t="shared" ref="K112" si="40">I112-J112</f>
        <v>0</v>
      </c>
      <c r="L112">
        <v>240</v>
      </c>
      <c r="M112">
        <v>15</v>
      </c>
      <c r="N112">
        <v>255</v>
      </c>
      <c r="O112" s="2">
        <f t="shared" ref="O112" si="41">L112+M112-N112</f>
        <v>0</v>
      </c>
      <c r="P112" t="str">
        <f t="shared" ref="P112" ca="1" si="42">IF(OR(F112="nessuno",F112=""),"🔴",IF(AND(OR(F112="agonistico",F112="non agonistico"),G112&lt;TODAY()),"🔴",IF(AND(OR(F112="agonistico",F112="non agonistico"),G112&lt;=TODAY()+30),"🟡","🟢")))</f>
        <v>🔴</v>
      </c>
      <c r="Q112" t="str">
        <f t="shared" ref="Q112" si="43">IF((L112+M112)&lt;=0,"🟢",IF(N112&lt;=0,"🔴",IF(O112&gt;0,"🟡","🟢")))</f>
        <v>🟢</v>
      </c>
    </row>
    <row r="113" spans="1:18" x14ac:dyDescent="0.25">
      <c r="A113">
        <v>16</v>
      </c>
      <c r="B113" t="s">
        <v>122</v>
      </c>
      <c r="C113" t="s">
        <v>54</v>
      </c>
      <c r="D113" t="s">
        <v>186</v>
      </c>
      <c r="F113" t="s">
        <v>169</v>
      </c>
      <c r="G113" s="1">
        <v>46337</v>
      </c>
      <c r="H113">
        <f>COUNTIFS(Presenze!$D:$D,D113,Presenze!$E:$E,"S")</f>
        <v>0</v>
      </c>
      <c r="I113">
        <f>COUNTIFS(Presenze!$D:$D,D113,Presenze!$F:$F,"S")</f>
        <v>0</v>
      </c>
      <c r="J113">
        <f>COUNTIFS(Presenze!$D:$D,D113,Presenze!$G:$G,"&lt;&gt;")</f>
        <v>0</v>
      </c>
      <c r="K113">
        <f t="shared" si="28"/>
        <v>0</v>
      </c>
      <c r="L113">
        <v>240</v>
      </c>
      <c r="M113">
        <v>15</v>
      </c>
      <c r="N113">
        <v>255</v>
      </c>
      <c r="O113" s="2">
        <f t="shared" si="29"/>
        <v>0</v>
      </c>
      <c r="P113" t="str">
        <f t="shared" ca="1" si="30"/>
        <v>🟢</v>
      </c>
      <c r="Q113" t="str">
        <f t="shared" si="31"/>
        <v>🟢</v>
      </c>
    </row>
    <row r="114" spans="1:18" x14ac:dyDescent="0.25">
      <c r="A114">
        <v>16</v>
      </c>
      <c r="B114" t="s">
        <v>122</v>
      </c>
      <c r="C114" t="s">
        <v>54</v>
      </c>
      <c r="D114" t="s">
        <v>184</v>
      </c>
      <c r="G114" s="1"/>
      <c r="H114">
        <f>COUNTIFS(Presenze!$D:$D,D114,Presenze!$E:$E,"S")</f>
        <v>0</v>
      </c>
      <c r="I114">
        <f>COUNTIFS(Presenze!$D:$D,D114,Presenze!$F:$F,"S")</f>
        <v>0</v>
      </c>
      <c r="J114">
        <f>COUNTIFS(Presenze!$D:$D,D114,Presenze!$G:$G,"&lt;&gt;")</f>
        <v>0</v>
      </c>
      <c r="K114">
        <f t="shared" ref="K114" si="44">I114-J114</f>
        <v>0</v>
      </c>
      <c r="L114">
        <v>240</v>
      </c>
      <c r="M114">
        <v>15</v>
      </c>
      <c r="N114">
        <v>255</v>
      </c>
      <c r="O114" s="2">
        <f t="shared" ref="O114" si="45">L114+M114-N114</f>
        <v>0</v>
      </c>
      <c r="P114" t="str">
        <f t="shared" ref="P114" ca="1" si="46">IF(OR(F114="nessuno",F114=""),"🔴",IF(AND(OR(F114="agonistico",F114="non agonistico"),G114&lt;TODAY()),"🔴",IF(AND(OR(F114="agonistico",F114="non agonistico"),G114&lt;=TODAY()+30),"🟡","🟢")))</f>
        <v>🔴</v>
      </c>
      <c r="Q114" t="str">
        <f t="shared" ref="Q114" si="47">IF((L114+M114)&lt;=0,"🟢",IF(N114&lt;=0,"🔴",IF(O114&gt;0,"🟡","🟢")))</f>
        <v>🟢</v>
      </c>
    </row>
    <row r="115" spans="1:18" x14ac:dyDescent="0.25">
      <c r="A115">
        <v>17</v>
      </c>
      <c r="B115" t="s">
        <v>127</v>
      </c>
      <c r="C115" t="s">
        <v>84</v>
      </c>
      <c r="D115" s="7" t="s">
        <v>146</v>
      </c>
      <c r="E115" s="7"/>
      <c r="F115" s="7"/>
      <c r="G115" s="7"/>
      <c r="H115" s="7">
        <f>COUNTIFS(Presenze!$D:$D,D115,Presenze!$E:$E,"S")</f>
        <v>0</v>
      </c>
      <c r="I115" s="7">
        <f>COUNTIFS(Presenze!$D:$D,D115,Presenze!$F:$F,"S")</f>
        <v>0</v>
      </c>
      <c r="J115" s="7">
        <f>COUNTIFS(Presenze!$D:$D,D115,Presenze!$G:$G,"&lt;&gt;")</f>
        <v>0</v>
      </c>
      <c r="K115" s="7">
        <f>I115-J115</f>
        <v>0</v>
      </c>
      <c r="L115" s="7">
        <v>0</v>
      </c>
      <c r="M115" s="7">
        <v>0</v>
      </c>
      <c r="N115" s="7">
        <v>0</v>
      </c>
      <c r="O115" s="2">
        <f>L115+M115-N115</f>
        <v>0</v>
      </c>
      <c r="P115" t="str">
        <f ca="1">IF(OR(F115="nessuno",F115=""),"🔴",IF(AND(OR(F115="agonistico",F115="non agonistico"),G115&lt;TODAY()),"🔴",IF(AND(OR(F115="agonistico",F115="non agonistico"),G115&lt;=TODAY()+30),"🟡","🟢")))</f>
        <v>🔴</v>
      </c>
      <c r="Q115" t="str">
        <f>IF((L115+M115)&lt;=0,"🟢",IF(N115&lt;=0,"🔴",IF(O115&gt;0,"🟡","🟢")))</f>
        <v>🟢</v>
      </c>
    </row>
    <row r="116" spans="1:18" x14ac:dyDescent="0.25">
      <c r="A116">
        <v>17</v>
      </c>
      <c r="B116" t="s">
        <v>127</v>
      </c>
      <c r="C116" t="s">
        <v>145</v>
      </c>
      <c r="D116" t="s">
        <v>100</v>
      </c>
      <c r="F116" t="s">
        <v>168</v>
      </c>
      <c r="G116" s="1">
        <v>46288</v>
      </c>
      <c r="H116">
        <f>COUNTIFS(Presenze!$D:$D,D116,Presenze!$E:$E,"S")</f>
        <v>0</v>
      </c>
      <c r="I116">
        <f>COUNTIFS(Presenze!$D:$D,D116,Presenze!$F:$F,"S")</f>
        <v>0</v>
      </c>
      <c r="J116">
        <f>COUNTIFS(Presenze!$D:$D,D116,Presenze!$G:$G,"&lt;&gt;")</f>
        <v>0</v>
      </c>
      <c r="K116">
        <f>I116-J116</f>
        <v>0</v>
      </c>
      <c r="L116">
        <v>480</v>
      </c>
      <c r="M116">
        <v>15</v>
      </c>
      <c r="N116">
        <v>255</v>
      </c>
      <c r="O116" s="2">
        <f>L116+M116-N116</f>
        <v>240</v>
      </c>
      <c r="P116" t="str">
        <f ca="1">IF(OR(F116="nessuno",F116=""),"🔴",IF(AND(OR(F116="agonistico",F116="non agonistico"),G116&lt;TODAY()),"🔴",IF(AND(OR(F116="agonistico",F116="non agonistico"),G116&lt;=TODAY()+30),"🟡","🟢")))</f>
        <v>🟢</v>
      </c>
      <c r="Q116" t="str">
        <f>IF((L116+M116)&lt;=0,"🟢",IF(N116&lt;=0,"🔴",IF(O116&gt;0,"🟡","🟢")))</f>
        <v>🟡</v>
      </c>
    </row>
    <row r="117" spans="1:18" x14ac:dyDescent="0.25">
      <c r="A117">
        <v>17</v>
      </c>
      <c r="B117" t="s">
        <v>127</v>
      </c>
      <c r="C117" t="s">
        <v>84</v>
      </c>
      <c r="D117" t="s">
        <v>128</v>
      </c>
      <c r="F117" t="s">
        <v>168</v>
      </c>
      <c r="G117" s="1">
        <v>46118</v>
      </c>
      <c r="H117">
        <f>COUNTIFS(Presenze!$D:$D,D117,Presenze!$E:$E,"S")</f>
        <v>0</v>
      </c>
      <c r="I117">
        <f>COUNTIFS(Presenze!$D:$D,D117,Presenze!$F:$F,"S")</f>
        <v>0</v>
      </c>
      <c r="J117">
        <f>COUNTIFS(Presenze!$D:$D,D117,Presenze!$G:$G,"&lt;&gt;")</f>
        <v>0</v>
      </c>
      <c r="K117">
        <f t="shared" si="28"/>
        <v>0</v>
      </c>
      <c r="L117">
        <v>480</v>
      </c>
      <c r="M117">
        <v>15</v>
      </c>
      <c r="N117">
        <v>255</v>
      </c>
      <c r="O117" s="2">
        <f t="shared" si="29"/>
        <v>240</v>
      </c>
      <c r="P117" t="str">
        <f t="shared" ca="1" si="30"/>
        <v>🟢</v>
      </c>
      <c r="Q117" t="str">
        <f t="shared" si="31"/>
        <v>🟡</v>
      </c>
    </row>
    <row r="118" spans="1:18" x14ac:dyDescent="0.25">
      <c r="A118">
        <v>17</v>
      </c>
      <c r="B118" t="s">
        <v>127</v>
      </c>
      <c r="C118" t="s">
        <v>84</v>
      </c>
      <c r="D118" t="s">
        <v>129</v>
      </c>
      <c r="F118" t="s">
        <v>168</v>
      </c>
      <c r="G118" s="1">
        <v>46329</v>
      </c>
      <c r="H118">
        <f>COUNTIFS(Presenze!$D:$D,D118,Presenze!$E:$E,"S")</f>
        <v>0</v>
      </c>
      <c r="I118">
        <f>COUNTIFS(Presenze!$D:$D,D118,Presenze!$F:$F,"S")</f>
        <v>0</v>
      </c>
      <c r="J118">
        <f>COUNTIFS(Presenze!$D:$D,D118,Presenze!$G:$G,"&lt;&gt;")</f>
        <v>0</v>
      </c>
      <c r="K118">
        <f t="shared" si="28"/>
        <v>0</v>
      </c>
      <c r="L118">
        <v>480</v>
      </c>
      <c r="M118">
        <v>15</v>
      </c>
      <c r="N118">
        <v>255</v>
      </c>
      <c r="O118" s="2">
        <f t="shared" si="29"/>
        <v>240</v>
      </c>
      <c r="P118" t="str">
        <f t="shared" ca="1" si="30"/>
        <v>🟢</v>
      </c>
      <c r="Q118" t="str">
        <f t="shared" si="31"/>
        <v>🟡</v>
      </c>
    </row>
    <row r="119" spans="1:18" x14ac:dyDescent="0.25">
      <c r="A119">
        <v>17</v>
      </c>
      <c r="B119" t="s">
        <v>127</v>
      </c>
      <c r="C119" t="s">
        <v>84</v>
      </c>
      <c r="D119" t="s">
        <v>130</v>
      </c>
      <c r="H119">
        <f>COUNTIFS(Presenze!$D:$D,D119,Presenze!$E:$E,"S")</f>
        <v>0</v>
      </c>
      <c r="I119">
        <f>COUNTIFS(Presenze!$D:$D,D119,Presenze!$F:$F,"S")</f>
        <v>0</v>
      </c>
      <c r="J119">
        <f>COUNTIFS(Presenze!$D:$D,D119,Presenze!$G:$G,"&lt;&gt;")</f>
        <v>0</v>
      </c>
      <c r="K119">
        <f t="shared" si="28"/>
        <v>0</v>
      </c>
      <c r="L119">
        <v>480</v>
      </c>
      <c r="M119">
        <v>15</v>
      </c>
      <c r="N119">
        <v>135</v>
      </c>
      <c r="O119" s="2">
        <f t="shared" si="29"/>
        <v>360</v>
      </c>
      <c r="P119" t="str">
        <f t="shared" ca="1" si="30"/>
        <v>🔴</v>
      </c>
      <c r="Q119" t="str">
        <f t="shared" si="31"/>
        <v>🟡</v>
      </c>
    </row>
    <row r="120" spans="1:18" x14ac:dyDescent="0.25">
      <c r="A120">
        <v>17</v>
      </c>
      <c r="B120" t="s">
        <v>127</v>
      </c>
      <c r="C120" t="s">
        <v>84</v>
      </c>
      <c r="D120" t="s">
        <v>131</v>
      </c>
      <c r="F120" t="s">
        <v>169</v>
      </c>
      <c r="G120" s="1">
        <v>46163</v>
      </c>
      <c r="H120">
        <f>COUNTIFS(Presenze!$D:$D,D120,Presenze!$E:$E,"S")</f>
        <v>0</v>
      </c>
      <c r="I120">
        <f>COUNTIFS(Presenze!$D:$D,D120,Presenze!$F:$F,"S")</f>
        <v>0</v>
      </c>
      <c r="J120">
        <f>COUNTIFS(Presenze!$D:$D,D120,Presenze!$G:$G,"&lt;&gt;")</f>
        <v>0</v>
      </c>
      <c r="K120">
        <f t="shared" si="28"/>
        <v>0</v>
      </c>
      <c r="L120">
        <v>480</v>
      </c>
      <c r="M120">
        <v>15</v>
      </c>
      <c r="N120">
        <v>255</v>
      </c>
      <c r="O120" s="2">
        <f t="shared" si="29"/>
        <v>240</v>
      </c>
      <c r="P120" t="str">
        <f t="shared" ca="1" si="30"/>
        <v>🟢</v>
      </c>
      <c r="Q120" t="str">
        <f t="shared" si="31"/>
        <v>🟡</v>
      </c>
    </row>
    <row r="121" spans="1:18" x14ac:dyDescent="0.25">
      <c r="A121">
        <v>17</v>
      </c>
      <c r="B121" t="s">
        <v>127</v>
      </c>
      <c r="C121" t="s">
        <v>84</v>
      </c>
      <c r="D121" t="s">
        <v>181</v>
      </c>
      <c r="H121">
        <f>COUNTIFS(Presenze!$D:$D,D121,Presenze!$E:$E,"S")</f>
        <v>0</v>
      </c>
      <c r="I121">
        <f>COUNTIFS(Presenze!$D:$D,D121,Presenze!$F:$F,"S")</f>
        <v>0</v>
      </c>
      <c r="J121">
        <f>COUNTIFS(Presenze!$D:$D,D121,Presenze!$G:$G,"&lt;&gt;")</f>
        <v>0</v>
      </c>
      <c r="K121">
        <f t="shared" ref="K121" si="48">I121-J121</f>
        <v>0</v>
      </c>
      <c r="L121">
        <v>240</v>
      </c>
      <c r="M121">
        <v>15</v>
      </c>
      <c r="N121">
        <v>255</v>
      </c>
      <c r="O121" s="2">
        <f t="shared" ref="O121" si="49">L121+M121-N121</f>
        <v>0</v>
      </c>
      <c r="P121" t="str">
        <f t="shared" ref="P121" ca="1" si="50">IF(OR(F121="nessuno",F121=""),"🔴",IF(AND(OR(F121="agonistico",F121="non agonistico"),G121&lt;TODAY()),"🔴",IF(AND(OR(F121="agonistico",F121="non agonistico"),G121&lt;=TODAY()+30),"🟡","🟢")))</f>
        <v>🔴</v>
      </c>
      <c r="Q121" t="str">
        <f t="shared" ref="Q121" si="51">IF((L121+M121)&lt;=0,"🟢",IF(N121&lt;=0,"🔴",IF(O121&gt;0,"🟡","🟢")))</f>
        <v>🟢</v>
      </c>
    </row>
    <row r="122" spans="1:18" x14ac:dyDescent="0.25">
      <c r="A122">
        <v>17</v>
      </c>
      <c r="B122" t="s">
        <v>127</v>
      </c>
      <c r="C122" t="s">
        <v>84</v>
      </c>
      <c r="D122" t="s">
        <v>132</v>
      </c>
      <c r="H122">
        <f>COUNTIFS(Presenze!$D:$D,D122,Presenze!$E:$E,"S")</f>
        <v>0</v>
      </c>
      <c r="I122">
        <f>COUNTIFS(Presenze!$D:$D,D122,Presenze!$F:$F,"S")</f>
        <v>0</v>
      </c>
      <c r="J122">
        <f>COUNTIFS(Presenze!$D:$D,D122,Presenze!$G:$G,"&lt;&gt;")</f>
        <v>0</v>
      </c>
      <c r="K122">
        <f t="shared" si="28"/>
        <v>0</v>
      </c>
      <c r="L122">
        <v>480</v>
      </c>
      <c r="M122">
        <v>15</v>
      </c>
      <c r="N122">
        <v>255</v>
      </c>
      <c r="O122" s="2">
        <f t="shared" si="29"/>
        <v>240</v>
      </c>
      <c r="P122" t="str">
        <f t="shared" ca="1" si="30"/>
        <v>🔴</v>
      </c>
      <c r="Q122" t="str">
        <f t="shared" si="31"/>
        <v>🟡</v>
      </c>
    </row>
    <row r="123" spans="1:18" x14ac:dyDescent="0.25">
      <c r="A123">
        <v>18</v>
      </c>
      <c r="B123" t="s">
        <v>154</v>
      </c>
      <c r="D123" t="s">
        <v>160</v>
      </c>
      <c r="H123">
        <f>COUNTIFS(Presenze!$D:$D,D123,Presenze!$E:$E,"S")</f>
        <v>0</v>
      </c>
      <c r="I123">
        <f>COUNTIFS(Presenze!$D:$D,D123,Presenze!$F:$F,"S")</f>
        <v>0</v>
      </c>
      <c r="J123">
        <f>COUNTIFS(Presenze!$D:$D,D123,Presenze!$G:$G,"&lt;&gt;")</f>
        <v>0</v>
      </c>
      <c r="K123">
        <f>I123-J123</f>
        <v>0</v>
      </c>
      <c r="L123">
        <v>45</v>
      </c>
      <c r="N123">
        <v>45</v>
      </c>
      <c r="O123" s="3">
        <f>L123+M123-N123</f>
        <v>0</v>
      </c>
      <c r="P123" t="str">
        <f ca="1">IF(OR(F123="nessuno",F123=""),"🔴",IF(AND(OR(F123="agonistico",F123="non agonistico"),G123&lt;TODAY()),"🔴",IF(AND(OR(F123="agonistico",F123="non agonistico"),G123&lt;=TODAY()+30),"🟡","🟢")))</f>
        <v>🔴</v>
      </c>
      <c r="Q123" t="str">
        <f>IF((L123+M123)&lt;=0,"🟢",IF(N123&lt;=0,"🔴",IF(O123&gt;0,"🟡","🟢")))</f>
        <v>🟢</v>
      </c>
      <c r="R123" t="s">
        <v>159</v>
      </c>
    </row>
    <row r="124" spans="1:18" x14ac:dyDescent="0.25">
      <c r="A124">
        <v>18</v>
      </c>
      <c r="B124" t="s">
        <v>154</v>
      </c>
      <c r="D124" t="s">
        <v>156</v>
      </c>
      <c r="H124">
        <f>COUNTIFS(Presenze!$D:$D,D124,Presenze!$E:$E,"S")</f>
        <v>0</v>
      </c>
      <c r="I124">
        <f>COUNTIFS(Presenze!$D:$D,D124,Presenze!$F:$F,"S")</f>
        <v>0</v>
      </c>
      <c r="J124">
        <f>COUNTIFS(Presenze!$D:$D,D124,Presenze!$G:$G,"&lt;&gt;")</f>
        <v>0</v>
      </c>
      <c r="K124">
        <f>I124-J124</f>
        <v>0</v>
      </c>
      <c r="L124">
        <v>90</v>
      </c>
      <c r="N124">
        <v>90</v>
      </c>
      <c r="O124" s="3">
        <f>L124+M124-N124</f>
        <v>0</v>
      </c>
      <c r="P124" t="str">
        <f ca="1">IF(OR(F124="nessuno",F124=""),"🔴",IF(AND(OR(F124="agonistico",F124="non agonistico"),G124&lt;TODAY()),"🔴",IF(AND(OR(F124="agonistico",F124="non agonistico"),G124&lt;=TODAY()+30),"🟡","🟢")))</f>
        <v>🔴</v>
      </c>
      <c r="Q124" t="str">
        <f>IF((L124+M124)&lt;=0,"🟢",IF(N124&lt;=0,"🔴",IF(O124&gt;0,"🟡","🟢")))</f>
        <v>🟢</v>
      </c>
      <c r="R124" t="s">
        <v>159</v>
      </c>
    </row>
    <row r="125" spans="1:18" x14ac:dyDescent="0.25">
      <c r="A125">
        <v>18</v>
      </c>
      <c r="B125" t="s">
        <v>154</v>
      </c>
      <c r="D125" t="s">
        <v>155</v>
      </c>
      <c r="H125">
        <f>COUNTIFS(Presenze!$D:$D,D125,Presenze!$E:$E,"S")</f>
        <v>0</v>
      </c>
      <c r="I125">
        <f>COUNTIFS(Presenze!$D:$D,D125,Presenze!$F:$F,"S")</f>
        <v>0</v>
      </c>
      <c r="J125">
        <f>COUNTIFS(Presenze!$D:$D,D125,Presenze!$G:$G,"&lt;&gt;")</f>
        <v>0</v>
      </c>
      <c r="K125">
        <f t="shared" si="28"/>
        <v>0</v>
      </c>
      <c r="L125">
        <v>30</v>
      </c>
      <c r="N125">
        <v>30</v>
      </c>
      <c r="O125" s="3">
        <f t="shared" si="29"/>
        <v>0</v>
      </c>
      <c r="P125" t="str">
        <f t="shared" ca="1" si="30"/>
        <v>🔴</v>
      </c>
      <c r="Q125" t="str">
        <f t="shared" si="31"/>
        <v>🟢</v>
      </c>
      <c r="R125" t="s">
        <v>159</v>
      </c>
    </row>
    <row r="126" spans="1:18" x14ac:dyDescent="0.25">
      <c r="A126">
        <v>18</v>
      </c>
      <c r="B126" t="s">
        <v>154</v>
      </c>
      <c r="D126" t="s">
        <v>157</v>
      </c>
      <c r="H126">
        <f>COUNTIFS(Presenze!$D:$D,D126,Presenze!$E:$E,"S")</f>
        <v>0</v>
      </c>
      <c r="I126">
        <f>COUNTIFS(Presenze!$D:$D,D126,Presenze!$F:$F,"S")</f>
        <v>0</v>
      </c>
      <c r="J126">
        <f>COUNTIFS(Presenze!$D:$D,D126,Presenze!$G:$G,"&lt;&gt;")</f>
        <v>0</v>
      </c>
      <c r="K126">
        <f t="shared" si="28"/>
        <v>0</v>
      </c>
      <c r="L126">
        <v>45</v>
      </c>
      <c r="N126">
        <v>45</v>
      </c>
      <c r="O126" s="3">
        <f t="shared" si="29"/>
        <v>0</v>
      </c>
      <c r="P126" t="str">
        <f t="shared" ca="1" si="30"/>
        <v>🔴</v>
      </c>
      <c r="Q126" t="str">
        <f t="shared" si="31"/>
        <v>🟢</v>
      </c>
      <c r="R126" t="s">
        <v>158</v>
      </c>
    </row>
    <row r="127" spans="1:18" x14ac:dyDescent="0.25">
      <c r="A127">
        <v>18</v>
      </c>
      <c r="B127" t="s">
        <v>154</v>
      </c>
      <c r="D127" t="s">
        <v>161</v>
      </c>
      <c r="H127">
        <f>COUNTIFS(Presenze!$D:$D,D127,Presenze!$E:$E,"S")</f>
        <v>0</v>
      </c>
      <c r="I127">
        <f>COUNTIFS(Presenze!$D:$D,D127,Presenze!$F:$F,"S")</f>
        <v>0</v>
      </c>
      <c r="J127">
        <f>COUNTIFS(Presenze!$D:$D,D127,Presenze!$G:$G,"&lt;&gt;")</f>
        <v>0</v>
      </c>
      <c r="K127">
        <f t="shared" si="28"/>
        <v>0</v>
      </c>
      <c r="L127">
        <v>15</v>
      </c>
      <c r="N127">
        <v>15</v>
      </c>
      <c r="O127" s="3">
        <f t="shared" si="29"/>
        <v>0</v>
      </c>
      <c r="P127" t="str">
        <f t="shared" ca="1" si="30"/>
        <v>🔴</v>
      </c>
      <c r="Q127" t="str">
        <f t="shared" si="31"/>
        <v>🟢</v>
      </c>
      <c r="R127" t="s">
        <v>159</v>
      </c>
    </row>
    <row r="128" spans="1:18" x14ac:dyDescent="0.25">
      <c r="A128">
        <v>18</v>
      </c>
      <c r="B128" t="s">
        <v>154</v>
      </c>
      <c r="D128" t="s">
        <v>162</v>
      </c>
      <c r="H128">
        <f>COUNTIFS(Presenze!$D:$D,D128,Presenze!$E:$E,"S")</f>
        <v>0</v>
      </c>
      <c r="I128">
        <f>COUNTIFS(Presenze!$D:$D,D128,Presenze!$F:$F,"S")</f>
        <v>0</v>
      </c>
      <c r="J128">
        <f>COUNTIFS(Presenze!$D:$D,D128,Presenze!$G:$G,"&lt;&gt;")</f>
        <v>0</v>
      </c>
      <c r="K128">
        <f t="shared" si="28"/>
        <v>0</v>
      </c>
      <c r="L128">
        <v>60</v>
      </c>
      <c r="N128">
        <v>60</v>
      </c>
      <c r="O128" s="3">
        <f t="shared" si="29"/>
        <v>0</v>
      </c>
      <c r="P128" t="str">
        <f t="shared" ca="1" si="30"/>
        <v>🔴</v>
      </c>
      <c r="Q128" t="str">
        <f t="shared" si="31"/>
        <v>🟢</v>
      </c>
      <c r="R128" t="s">
        <v>159</v>
      </c>
    </row>
    <row r="129" spans="1:18" x14ac:dyDescent="0.25">
      <c r="A129">
        <v>18</v>
      </c>
      <c r="B129" t="s">
        <v>154</v>
      </c>
      <c r="D129" t="s">
        <v>164</v>
      </c>
      <c r="H129">
        <f>COUNTIFS(Presenze!$D:$D,D129,Presenze!$E:$E,"S")</f>
        <v>0</v>
      </c>
      <c r="I129">
        <f>COUNTIFS(Presenze!$D:$D,D129,Presenze!$F:$F,"S")</f>
        <v>0</v>
      </c>
      <c r="J129">
        <f>COUNTIFS(Presenze!$D:$D,D129,Presenze!$G:$G,"&lt;&gt;")</f>
        <v>0</v>
      </c>
      <c r="K129">
        <f t="shared" si="28"/>
        <v>0</v>
      </c>
      <c r="L129">
        <v>30</v>
      </c>
      <c r="N129">
        <v>30</v>
      </c>
      <c r="O129" s="3">
        <v>0</v>
      </c>
      <c r="P129" t="str">
        <f t="shared" ca="1" si="30"/>
        <v>🔴</v>
      </c>
      <c r="Q129" t="str">
        <f t="shared" si="31"/>
        <v>🟢</v>
      </c>
      <c r="R129" t="s">
        <v>159</v>
      </c>
    </row>
    <row r="130" spans="1:18" x14ac:dyDescent="0.25">
      <c r="A130">
        <v>18</v>
      </c>
      <c r="B130" t="s">
        <v>154</v>
      </c>
      <c r="D130" t="s">
        <v>165</v>
      </c>
      <c r="H130">
        <f>COUNTIFS(Presenze!$D:$D,D130,Presenze!$E:$E,"S")</f>
        <v>0</v>
      </c>
      <c r="I130">
        <f>COUNTIFS(Presenze!$D:$D,D130,Presenze!$F:$F,"S")</f>
        <v>0</v>
      </c>
      <c r="J130">
        <f>COUNTIFS(Presenze!$D:$D,D130,Presenze!$G:$G,"&lt;&gt;")</f>
        <v>0</v>
      </c>
      <c r="K130">
        <f t="shared" si="28"/>
        <v>0</v>
      </c>
      <c r="L130">
        <v>15</v>
      </c>
      <c r="N130">
        <v>15</v>
      </c>
      <c r="O130" s="3">
        <v>0</v>
      </c>
      <c r="P130" t="str">
        <f t="shared" ca="1" si="30"/>
        <v>🔴</v>
      </c>
      <c r="Q130" t="str">
        <f t="shared" si="31"/>
        <v>🟢</v>
      </c>
      <c r="R130" t="s">
        <v>166</v>
      </c>
    </row>
    <row r="131" spans="1:18" x14ac:dyDescent="0.25">
      <c r="A131">
        <v>18</v>
      </c>
      <c r="B131" t="s">
        <v>154</v>
      </c>
      <c r="D131" t="s">
        <v>167</v>
      </c>
      <c r="H131">
        <f>COUNTIFS(Presenze!$D:$D,D131,Presenze!$E:$E,"S")</f>
        <v>0</v>
      </c>
      <c r="I131">
        <f>COUNTIFS(Presenze!$D:$D,D131,Presenze!$F:$F,"S")</f>
        <v>0</v>
      </c>
      <c r="J131">
        <f>COUNTIFS(Presenze!$D:$D,D131,Presenze!$G:$G,"&lt;&gt;")</f>
        <v>0</v>
      </c>
      <c r="K131">
        <f t="shared" ref="K131:K134" si="52">I131-J131</f>
        <v>0</v>
      </c>
      <c r="L131">
        <v>15</v>
      </c>
      <c r="N131">
        <v>15</v>
      </c>
      <c r="O131" s="3">
        <f t="shared" ref="O131:O134" si="53">L131+M131-N131</f>
        <v>0</v>
      </c>
      <c r="P131" t="str">
        <f t="shared" ref="P131:P134" ca="1" si="54">IF(OR(F131="nessuno",F131=""),"🔴",IF(AND(OR(F131="agonistico",F131="non agonistico"),G131&lt;TODAY()),"🔴",IF(AND(OR(F131="agonistico",F131="non agonistico"),G131&lt;=TODAY()+30),"🟡","🟢")))</f>
        <v>🔴</v>
      </c>
      <c r="Q131" t="str">
        <f t="shared" ref="Q131:Q134" si="55">IF((L131+M131)&lt;=0,"🟢",IF(N131&lt;=0,"🔴",IF(O131&gt;0,"🟡","🟢")))</f>
        <v>🟢</v>
      </c>
    </row>
    <row r="132" spans="1:18" x14ac:dyDescent="0.25">
      <c r="A132">
        <v>18</v>
      </c>
      <c r="B132" t="s">
        <v>154</v>
      </c>
      <c r="D132" t="s">
        <v>175</v>
      </c>
      <c r="H132">
        <f>COUNTIFS(Presenze!$D:$D,D132,Presenze!$E:$E,"S")</f>
        <v>0</v>
      </c>
      <c r="I132">
        <f>COUNTIFS(Presenze!$D:$D,D132,Presenze!$F:$F,"S")</f>
        <v>0</v>
      </c>
      <c r="J132">
        <f>COUNTIFS(Presenze!$D:$D,D132,Presenze!$G:$G,"&lt;&gt;")</f>
        <v>0</v>
      </c>
      <c r="K132">
        <f t="shared" si="52"/>
        <v>0</v>
      </c>
      <c r="L132">
        <v>30</v>
      </c>
      <c r="N132">
        <v>30</v>
      </c>
      <c r="O132" s="3">
        <v>0</v>
      </c>
      <c r="P132" t="str">
        <f t="shared" ca="1" si="54"/>
        <v>🔴</v>
      </c>
      <c r="Q132" t="str">
        <f t="shared" si="55"/>
        <v>🟢</v>
      </c>
    </row>
    <row r="133" spans="1:18" x14ac:dyDescent="0.25">
      <c r="A133">
        <v>18</v>
      </c>
      <c r="B133" t="s">
        <v>154</v>
      </c>
      <c r="D133" t="s">
        <v>176</v>
      </c>
      <c r="H133">
        <f>COUNTIFS(Presenze!$D:$D,D133,Presenze!$E:$E,"S")</f>
        <v>0</v>
      </c>
      <c r="I133">
        <f>COUNTIFS(Presenze!$D:$D,D133,Presenze!$F:$F,"S")</f>
        <v>0</v>
      </c>
      <c r="J133">
        <f>COUNTIFS(Presenze!$D:$D,D133,Presenze!$G:$G,"&lt;&gt;")</f>
        <v>0</v>
      </c>
      <c r="K133">
        <f t="shared" si="52"/>
        <v>0</v>
      </c>
      <c r="L133">
        <v>30</v>
      </c>
      <c r="N133">
        <v>30</v>
      </c>
      <c r="O133" s="3">
        <v>0</v>
      </c>
      <c r="P133" t="str">
        <f t="shared" ca="1" si="54"/>
        <v>🔴</v>
      </c>
      <c r="Q133" t="str">
        <f t="shared" si="55"/>
        <v>🟢</v>
      </c>
    </row>
    <row r="134" spans="1:18" x14ac:dyDescent="0.25">
      <c r="A134">
        <v>18</v>
      </c>
      <c r="B134" t="s">
        <v>154</v>
      </c>
      <c r="D134" t="s">
        <v>125</v>
      </c>
      <c r="H134">
        <f>COUNTIFS(Presenze!$D:$D,D134,Presenze!$E:$E,"S")</f>
        <v>0</v>
      </c>
      <c r="I134">
        <f>COUNTIFS(Presenze!$D:$D,D134,Presenze!$F:$F,"S")</f>
        <v>0</v>
      </c>
      <c r="J134">
        <f>COUNTIFS(Presenze!$D:$D,D134,Presenze!$G:$G,"&lt;&gt;")</f>
        <v>0</v>
      </c>
      <c r="K134">
        <f t="shared" si="52"/>
        <v>0</v>
      </c>
      <c r="L134">
        <v>30</v>
      </c>
      <c r="N134">
        <v>30</v>
      </c>
      <c r="O134" s="3">
        <f t="shared" si="53"/>
        <v>0</v>
      </c>
      <c r="P134" t="str">
        <f t="shared" ca="1" si="54"/>
        <v>🔴</v>
      </c>
      <c r="Q134" t="str">
        <f t="shared" si="55"/>
        <v>🟢</v>
      </c>
      <c r="R134" t="s">
        <v>159</v>
      </c>
    </row>
    <row r="137" spans="1:18" x14ac:dyDescent="0.25">
      <c r="N137" s="4">
        <f>SUM(N2:N134)</f>
        <v>30023</v>
      </c>
      <c r="O137" s="5">
        <f>SUM(O2:O134)</f>
        <v>26787</v>
      </c>
    </row>
  </sheetData>
  <autoFilter ref="A1:R134" xr:uid="{00000000-0001-0000-0000-000000000000}"/>
  <phoneticPr fontId="2" type="noConversion"/>
  <conditionalFormatting sqref="F2:G134">
    <cfRule type="expression" dxfId="1" priority="3">
      <formula>OR($F2="nessuno",$F2="")</formula>
    </cfRule>
    <cfRule type="expression" dxfId="0" priority="4">
      <formula>AND(OR($F2="agonistico",$F2="non agonistico"),$G2&lt;TODAY())</formula>
    </cfRule>
  </conditionalFormatting>
  <dataValidations disablePrompts="1" count="1">
    <dataValidation type="list" allowBlank="1" showInputMessage="1" showErrorMessage="1" sqref="F2:F134" xr:uid="{00000000-0002-0000-0000-000000000000}">
      <formula1>"agonistico,non agonistico,nessuno"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A2" sqref="A2"/>
    </sheetView>
  </sheetViews>
  <sheetFormatPr defaultRowHeight="15" x14ac:dyDescent="0.25"/>
  <cols>
    <col min="1" max="1" width="16.28515625" customWidth="1"/>
    <col min="2" max="2" width="14.85546875" customWidth="1"/>
    <col min="3" max="3" width="18.28515625" customWidth="1"/>
    <col min="4" max="4" width="21.140625" customWidth="1"/>
    <col min="5" max="5" width="17.7109375" customWidth="1"/>
    <col min="6" max="6" width="33.42578125" customWidth="1"/>
    <col min="7" max="7" width="15" customWidth="1"/>
    <col min="8" max="8" width="25" customWidth="1"/>
    <col min="9" max="9" width="26.42578125" customWidth="1"/>
  </cols>
  <sheetData>
    <row r="1" spans="1:9" x14ac:dyDescent="0.25">
      <c r="A1" t="s">
        <v>133</v>
      </c>
      <c r="B1" t="s">
        <v>0</v>
      </c>
      <c r="C1" t="s">
        <v>1</v>
      </c>
      <c r="D1" t="s">
        <v>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 s="1"/>
      <c r="G2" s="1"/>
    </row>
    <row r="3" spans="1:9" x14ac:dyDescent="0.25">
      <c r="A3" s="1"/>
    </row>
    <row r="4" spans="1:9" x14ac:dyDescent="0.25">
      <c r="A4" s="1"/>
    </row>
    <row r="6" spans="1:9" x14ac:dyDescent="0.25">
      <c r="C6" t="str">
        <f>IFERROR(INDEX(Gruppi_Atleti!$B$2:$B$122,MATCH(B6,Gruppi_Atleti!$A$2:$A$122,0)),"")</f>
        <v/>
      </c>
    </row>
    <row r="7" spans="1:9" x14ac:dyDescent="0.25">
      <c r="C7" t="str">
        <f>IFERROR(INDEX(Gruppi_Atleti!$B$2:$B$122,MATCH(B7,Gruppi_Atleti!$A$2:$A$122,0)),"")</f>
        <v/>
      </c>
    </row>
    <row r="8" spans="1:9" x14ac:dyDescent="0.25">
      <c r="C8" t="str">
        <f>IFERROR(INDEX(Gruppi_Atleti!$B$2:$B$122,MATCH(B8,Gruppi_Atleti!$A$2:$A$122,0)),"")</f>
        <v/>
      </c>
    </row>
    <row r="9" spans="1:9" x14ac:dyDescent="0.25">
      <c r="C9" t="str">
        <f>IFERROR(INDEX(Gruppi_Atleti!$B$2:$B$122,MATCH(B9,Gruppi_Atleti!$A$2:$A$122,0)),"")</f>
        <v/>
      </c>
    </row>
    <row r="10" spans="1:9" x14ac:dyDescent="0.25">
      <c r="C10" t="str">
        <f>IFERROR(INDEX(Gruppi_Atleti!$B$2:$B$122,MATCH(B10,Gruppi_Atleti!$A$2:$A$122,0)),"")</f>
        <v/>
      </c>
    </row>
    <row r="11" spans="1:9" x14ac:dyDescent="0.25">
      <c r="C11" t="str">
        <f>IFERROR(INDEX(Gruppi_Atleti!$B$2:$B$122,MATCH(B11,Gruppi_Atleti!$A$2:$A$122,0)),"")</f>
        <v/>
      </c>
    </row>
    <row r="12" spans="1:9" x14ac:dyDescent="0.25">
      <c r="C12" t="str">
        <f>IFERROR(INDEX(Gruppi_Atleti!$B$2:$B$122,MATCH(B12,Gruppi_Atleti!$A$2:$A$122,0)),"")</f>
        <v/>
      </c>
    </row>
    <row r="13" spans="1:9" x14ac:dyDescent="0.25">
      <c r="C13" t="str">
        <f>IFERROR(INDEX(Gruppi_Atleti!$B$2:$B$122,MATCH(B13,Gruppi_Atleti!$A$2:$A$122,0)),"")</f>
        <v/>
      </c>
    </row>
    <row r="14" spans="1:9" x14ac:dyDescent="0.25">
      <c r="C14" t="str">
        <f>IFERROR(INDEX(Gruppi_Atleti!$B$2:$B$122,MATCH(B14,Gruppi_Atleti!$A$2:$A$122,0)),"")</f>
        <v/>
      </c>
    </row>
    <row r="15" spans="1:9" x14ac:dyDescent="0.25">
      <c r="C15" t="str">
        <f>IFERROR(INDEX(Gruppi_Atleti!$B$2:$B$122,MATCH(B15,Gruppi_Atleti!$A$2:$A$122,0)),"")</f>
        <v/>
      </c>
    </row>
    <row r="16" spans="1:9" x14ac:dyDescent="0.25">
      <c r="C16" t="str">
        <f>IFERROR(INDEX(Gruppi_Atleti!$B$2:$B$122,MATCH(B16,Gruppi_Atleti!$A$2:$A$122,0)),"")</f>
        <v/>
      </c>
    </row>
    <row r="17" spans="3:3" x14ac:dyDescent="0.25">
      <c r="C17" t="str">
        <f>IFERROR(INDEX(Gruppi_Atleti!$B$2:$B$122,MATCH(B17,Gruppi_Atleti!$A$2:$A$122,0)),"")</f>
        <v/>
      </c>
    </row>
    <row r="18" spans="3:3" x14ac:dyDescent="0.25">
      <c r="C18" t="str">
        <f>IFERROR(INDEX(Gruppi_Atleti!$B$2:$B$122,MATCH(B18,Gruppi_Atleti!$A$2:$A$122,0)),"")</f>
        <v/>
      </c>
    </row>
    <row r="19" spans="3:3" x14ac:dyDescent="0.25">
      <c r="C19" t="str">
        <f>IFERROR(INDEX(Gruppi_Atleti!$B$2:$B$122,MATCH(B19,Gruppi_Atleti!$A$2:$A$122,0)),"")</f>
        <v/>
      </c>
    </row>
    <row r="20" spans="3:3" x14ac:dyDescent="0.25">
      <c r="C20" t="str">
        <f>IFERROR(INDEX(Gruppi_Atleti!$B$2:$B$122,MATCH(B20,Gruppi_Atleti!$A$2:$A$122,0)),"")</f>
        <v/>
      </c>
    </row>
    <row r="21" spans="3:3" x14ac:dyDescent="0.25">
      <c r="C21" t="str">
        <f>IFERROR(INDEX(Gruppi_Atleti!$B$2:$B$122,MATCH(B21,Gruppi_Atleti!$A$2:$A$122,0)),"")</f>
        <v/>
      </c>
    </row>
    <row r="22" spans="3:3" x14ac:dyDescent="0.25">
      <c r="C22" t="str">
        <f>IFERROR(INDEX(Gruppi_Atleti!$B$2:$B$122,MATCH(B22,Gruppi_Atleti!$A$2:$A$122,0)),"")</f>
        <v/>
      </c>
    </row>
    <row r="23" spans="3:3" x14ac:dyDescent="0.25">
      <c r="C23" t="str">
        <f>IFERROR(INDEX(Gruppi_Atleti!$B$2:$B$122,MATCH(B23,Gruppi_Atleti!$A$2:$A$122,0)),"")</f>
        <v/>
      </c>
    </row>
    <row r="24" spans="3:3" x14ac:dyDescent="0.25">
      <c r="C24" t="str">
        <f>IFERROR(INDEX(Gruppi_Atleti!$B$2:$B$122,MATCH(B24,Gruppi_Atleti!$A$2:$A$122,0)),"")</f>
        <v/>
      </c>
    </row>
    <row r="25" spans="3:3" x14ac:dyDescent="0.25">
      <c r="C25" t="str">
        <f>IFERROR(INDEX(Gruppi_Atleti!$B$2:$B$122,MATCH(B25,Gruppi_Atleti!$A$2:$A$122,0)),"")</f>
        <v/>
      </c>
    </row>
    <row r="26" spans="3:3" x14ac:dyDescent="0.25">
      <c r="C26" t="str">
        <f>IFERROR(INDEX(Gruppi_Atleti!$B$2:$B$122,MATCH(B26,Gruppi_Atleti!$A$2:$A$122,0)),"")</f>
        <v/>
      </c>
    </row>
    <row r="27" spans="3:3" x14ac:dyDescent="0.25">
      <c r="C27" t="str">
        <f>IFERROR(INDEX(Gruppi_Atleti!$B$2:$B$122,MATCH(B27,Gruppi_Atleti!$A$2:$A$122,0)),"")</f>
        <v/>
      </c>
    </row>
    <row r="28" spans="3:3" x14ac:dyDescent="0.25">
      <c r="C28" t="str">
        <f>IFERROR(INDEX(Gruppi_Atleti!$B$2:$B$122,MATCH(B28,Gruppi_Atleti!$A$2:$A$122,0)),"")</f>
        <v/>
      </c>
    </row>
    <row r="29" spans="3:3" x14ac:dyDescent="0.25">
      <c r="C29" t="str">
        <f>IFERROR(INDEX(Gruppi_Atleti!$B$2:$B$122,MATCH(B29,Gruppi_Atleti!$A$2:$A$122,0)),"")</f>
        <v/>
      </c>
    </row>
    <row r="30" spans="3:3" x14ac:dyDescent="0.25">
      <c r="C30" t="str">
        <f>IFERROR(INDEX(Gruppi_Atleti!$B$2:$B$122,MATCH(B30,Gruppi_Atleti!$A$2:$A$122,0)),"")</f>
        <v/>
      </c>
    </row>
    <row r="31" spans="3:3" x14ac:dyDescent="0.25">
      <c r="C31" t="str">
        <f>IFERROR(INDEX(Gruppi_Atleti!$B$2:$B$122,MATCH(B31,Gruppi_Atleti!$A$2:$A$122,0)),"")</f>
        <v/>
      </c>
    </row>
    <row r="32" spans="3:3" x14ac:dyDescent="0.25">
      <c r="C32" t="str">
        <f>IFERROR(INDEX(Gruppi_Atleti!$B$2:$B$122,MATCH(B32,Gruppi_Atleti!$A$2:$A$122,0)),"")</f>
        <v/>
      </c>
    </row>
    <row r="33" spans="3:3" x14ac:dyDescent="0.25">
      <c r="C33" t="str">
        <f>IFERROR(INDEX(Gruppi_Atleti!$B$2:$B$122,MATCH(B33,Gruppi_Atleti!$A$2:$A$122,0)),"")</f>
        <v/>
      </c>
    </row>
    <row r="34" spans="3:3" x14ac:dyDescent="0.25">
      <c r="C34" t="str">
        <f>IFERROR(INDEX(Gruppi_Atleti!$B$2:$B$122,MATCH(B34,Gruppi_Atleti!$A$2:$A$122,0)),"")</f>
        <v/>
      </c>
    </row>
    <row r="35" spans="3:3" x14ac:dyDescent="0.25">
      <c r="C35" t="str">
        <f>IFERROR(INDEX(Gruppi_Atleti!$B$2:$B$122,MATCH(B35,Gruppi_Atleti!$A$2:$A$122,0)),"")</f>
        <v/>
      </c>
    </row>
    <row r="36" spans="3:3" x14ac:dyDescent="0.25">
      <c r="C36" t="str">
        <f>IFERROR(INDEX(Gruppi_Atleti!$B$2:$B$122,MATCH(B36,Gruppi_Atleti!$A$2:$A$122,0)),"")</f>
        <v/>
      </c>
    </row>
    <row r="37" spans="3:3" x14ac:dyDescent="0.25">
      <c r="C37" t="str">
        <f>IFERROR(INDEX(Gruppi_Atleti!$B$2:$B$122,MATCH(B37,Gruppi_Atleti!$A$2:$A$122,0)),"")</f>
        <v/>
      </c>
    </row>
    <row r="38" spans="3:3" x14ac:dyDescent="0.25">
      <c r="C38" t="str">
        <f>IFERROR(INDEX(Gruppi_Atleti!$B$2:$B$122,MATCH(B38,Gruppi_Atleti!$A$2:$A$122,0)),"")</f>
        <v/>
      </c>
    </row>
    <row r="39" spans="3:3" x14ac:dyDescent="0.25">
      <c r="C39" t="str">
        <f>IFERROR(INDEX(Gruppi_Atleti!$B$2:$B$122,MATCH(B39,Gruppi_Atleti!$A$2:$A$122,0)),"")</f>
        <v/>
      </c>
    </row>
    <row r="40" spans="3:3" x14ac:dyDescent="0.25">
      <c r="C40" t="str">
        <f>IFERROR(INDEX(Gruppi_Atleti!$B$2:$B$122,MATCH(B40,Gruppi_Atleti!$A$2:$A$122,0)),"")</f>
        <v/>
      </c>
    </row>
    <row r="41" spans="3:3" x14ac:dyDescent="0.25">
      <c r="C41" t="str">
        <f>IFERROR(INDEX(Gruppi_Atleti!$B$2:$B$122,MATCH(B41,Gruppi_Atleti!$A$2:$A$122,0)),"")</f>
        <v/>
      </c>
    </row>
    <row r="42" spans="3:3" x14ac:dyDescent="0.25">
      <c r="C42" t="str">
        <f>IFERROR(INDEX(Gruppi_Atleti!$B$2:$B$122,MATCH(B42,Gruppi_Atleti!$A$2:$A$122,0)),"")</f>
        <v/>
      </c>
    </row>
    <row r="43" spans="3:3" x14ac:dyDescent="0.25">
      <c r="C43" t="str">
        <f>IFERROR(INDEX(Gruppi_Atleti!$B$2:$B$122,MATCH(B43,Gruppi_Atleti!$A$2:$A$122,0)),"")</f>
        <v/>
      </c>
    </row>
    <row r="44" spans="3:3" x14ac:dyDescent="0.25">
      <c r="C44" t="str">
        <f>IFERROR(INDEX(Gruppi_Atleti!$B$2:$B$122,MATCH(B44,Gruppi_Atleti!$A$2:$A$122,0)),"")</f>
        <v/>
      </c>
    </row>
    <row r="45" spans="3:3" x14ac:dyDescent="0.25">
      <c r="C45" t="str">
        <f>IFERROR(INDEX(Gruppi_Atleti!$B$2:$B$122,MATCH(B45,Gruppi_Atleti!$A$2:$A$122,0)),"")</f>
        <v/>
      </c>
    </row>
    <row r="46" spans="3:3" x14ac:dyDescent="0.25">
      <c r="C46" t="str">
        <f>IFERROR(INDEX(Gruppi_Atleti!$B$2:$B$122,MATCH(B46,Gruppi_Atleti!$A$2:$A$122,0)),"")</f>
        <v/>
      </c>
    </row>
    <row r="47" spans="3:3" x14ac:dyDescent="0.25">
      <c r="C47" t="str">
        <f>IFERROR(INDEX(Gruppi_Atleti!$B$2:$B$122,MATCH(B47,Gruppi_Atleti!$A$2:$A$122,0)),"")</f>
        <v/>
      </c>
    </row>
    <row r="48" spans="3:3" x14ac:dyDescent="0.25">
      <c r="C48" t="str">
        <f>IFERROR(INDEX(Gruppi_Atleti!$B$2:$B$122,MATCH(B48,Gruppi_Atleti!$A$2:$A$122,0)),"")</f>
        <v/>
      </c>
    </row>
    <row r="49" spans="3:3" x14ac:dyDescent="0.25">
      <c r="C49" t="str">
        <f>IFERROR(INDEX(Gruppi_Atleti!$B$2:$B$122,MATCH(B49,Gruppi_Atleti!$A$2:$A$122,0)),"")</f>
        <v/>
      </c>
    </row>
    <row r="50" spans="3:3" x14ac:dyDescent="0.25">
      <c r="C50" t="str">
        <f>IFERROR(INDEX(Gruppi_Atleti!$B$2:$B$122,MATCH(B50,Gruppi_Atleti!$A$2:$A$122,0)),"")</f>
        <v/>
      </c>
    </row>
    <row r="51" spans="3:3" x14ac:dyDescent="0.25">
      <c r="C51" t="str">
        <f>IFERROR(INDEX(Gruppi_Atleti!$B$2:$B$122,MATCH(B51,Gruppi_Atleti!$A$2:$A$122,0)),"")</f>
        <v/>
      </c>
    </row>
    <row r="52" spans="3:3" x14ac:dyDescent="0.25">
      <c r="C52" t="str">
        <f>IFERROR(INDEX(Gruppi_Atleti!$B$2:$B$122,MATCH(B52,Gruppi_Atleti!$A$2:$A$122,0)),"")</f>
        <v/>
      </c>
    </row>
    <row r="53" spans="3:3" x14ac:dyDescent="0.25">
      <c r="C53" t="str">
        <f>IFERROR(INDEX(Gruppi_Atleti!$B$2:$B$122,MATCH(B53,Gruppi_Atleti!$A$2:$A$122,0)),"")</f>
        <v/>
      </c>
    </row>
    <row r="54" spans="3:3" x14ac:dyDescent="0.25">
      <c r="C54" t="str">
        <f>IFERROR(INDEX(Gruppi_Atleti!$B$2:$B$122,MATCH(B54,Gruppi_Atleti!$A$2:$A$122,0)),"")</f>
        <v/>
      </c>
    </row>
    <row r="55" spans="3:3" x14ac:dyDescent="0.25">
      <c r="C55" t="str">
        <f>IFERROR(INDEX(Gruppi_Atleti!$B$2:$B$122,MATCH(B55,Gruppi_Atleti!$A$2:$A$122,0)),"")</f>
        <v/>
      </c>
    </row>
    <row r="56" spans="3:3" x14ac:dyDescent="0.25">
      <c r="C56" t="str">
        <f>IFERROR(INDEX(Gruppi_Atleti!$B$2:$B$122,MATCH(B56,Gruppi_Atleti!$A$2:$A$122,0)),"")</f>
        <v/>
      </c>
    </row>
    <row r="57" spans="3:3" x14ac:dyDescent="0.25">
      <c r="C57" t="str">
        <f>IFERROR(INDEX(Gruppi_Atleti!$B$2:$B$122,MATCH(B57,Gruppi_Atleti!$A$2:$A$122,0)),"")</f>
        <v/>
      </c>
    </row>
    <row r="58" spans="3:3" x14ac:dyDescent="0.25">
      <c r="C58" t="str">
        <f>IFERROR(INDEX(Gruppi_Atleti!$B$2:$B$122,MATCH(B58,Gruppi_Atleti!$A$2:$A$122,0)),"")</f>
        <v/>
      </c>
    </row>
    <row r="59" spans="3:3" x14ac:dyDescent="0.25">
      <c r="C59" t="str">
        <f>IFERROR(INDEX(Gruppi_Atleti!$B$2:$B$122,MATCH(B59,Gruppi_Atleti!$A$2:$A$122,0)),"")</f>
        <v/>
      </c>
    </row>
    <row r="60" spans="3:3" x14ac:dyDescent="0.25">
      <c r="C60" t="str">
        <f>IFERROR(INDEX(Gruppi_Atleti!$B$2:$B$122,MATCH(B60,Gruppi_Atleti!$A$2:$A$122,0)),"")</f>
        <v/>
      </c>
    </row>
    <row r="61" spans="3:3" x14ac:dyDescent="0.25">
      <c r="C61" t="str">
        <f>IFERROR(INDEX(Gruppi_Atleti!$B$2:$B$122,MATCH(B61,Gruppi_Atleti!$A$2:$A$122,0)),"")</f>
        <v/>
      </c>
    </row>
    <row r="62" spans="3:3" x14ac:dyDescent="0.25">
      <c r="C62" t="str">
        <f>IFERROR(INDEX(Gruppi_Atleti!$B$2:$B$122,MATCH(B62,Gruppi_Atleti!$A$2:$A$122,0)),"")</f>
        <v/>
      </c>
    </row>
    <row r="63" spans="3:3" x14ac:dyDescent="0.25">
      <c r="C63" t="str">
        <f>IFERROR(INDEX(Gruppi_Atleti!$B$2:$B$122,MATCH(B63,Gruppi_Atleti!$A$2:$A$122,0)),"")</f>
        <v/>
      </c>
    </row>
    <row r="64" spans="3:3" x14ac:dyDescent="0.25">
      <c r="C64" t="str">
        <f>IFERROR(INDEX(Gruppi_Atleti!$B$2:$B$122,MATCH(B64,Gruppi_Atleti!$A$2:$A$122,0)),"")</f>
        <v/>
      </c>
    </row>
    <row r="65" spans="3:3" x14ac:dyDescent="0.25">
      <c r="C65" t="str">
        <f>IFERROR(INDEX(Gruppi_Atleti!$B$2:$B$122,MATCH(B65,Gruppi_Atleti!$A$2:$A$122,0)),"")</f>
        <v/>
      </c>
    </row>
    <row r="66" spans="3:3" x14ac:dyDescent="0.25">
      <c r="C66" t="str">
        <f>IFERROR(INDEX(Gruppi_Atleti!$B$2:$B$122,MATCH(B66,Gruppi_Atleti!$A$2:$A$122,0)),"")</f>
        <v/>
      </c>
    </row>
    <row r="67" spans="3:3" x14ac:dyDescent="0.25">
      <c r="C67" t="str">
        <f>IFERROR(INDEX(Gruppi_Atleti!$B$2:$B$122,MATCH(B67,Gruppi_Atleti!$A$2:$A$122,0)),"")</f>
        <v/>
      </c>
    </row>
    <row r="68" spans="3:3" x14ac:dyDescent="0.25">
      <c r="C68" t="str">
        <f>IFERROR(INDEX(Gruppi_Atleti!$B$2:$B$122,MATCH(B68,Gruppi_Atleti!$A$2:$A$122,0)),"")</f>
        <v/>
      </c>
    </row>
    <row r="69" spans="3:3" x14ac:dyDescent="0.25">
      <c r="C69" t="str">
        <f>IFERROR(INDEX(Gruppi_Atleti!$B$2:$B$122,MATCH(B69,Gruppi_Atleti!$A$2:$A$122,0)),"")</f>
        <v/>
      </c>
    </row>
    <row r="70" spans="3:3" x14ac:dyDescent="0.25">
      <c r="C70" t="str">
        <f>IFERROR(INDEX(Gruppi_Atleti!$B$2:$B$122,MATCH(B70,Gruppi_Atleti!$A$2:$A$122,0)),"")</f>
        <v/>
      </c>
    </row>
    <row r="71" spans="3:3" x14ac:dyDescent="0.25">
      <c r="C71" t="str">
        <f>IFERROR(INDEX(Gruppi_Atleti!$B$2:$B$122,MATCH(B71,Gruppi_Atleti!$A$2:$A$122,0)),"")</f>
        <v/>
      </c>
    </row>
    <row r="72" spans="3:3" x14ac:dyDescent="0.25">
      <c r="C72" t="str">
        <f>IFERROR(INDEX(Gruppi_Atleti!$B$2:$B$122,MATCH(B72,Gruppi_Atleti!$A$2:$A$122,0)),"")</f>
        <v/>
      </c>
    </row>
    <row r="73" spans="3:3" x14ac:dyDescent="0.25">
      <c r="C73" t="str">
        <f>IFERROR(INDEX(Gruppi_Atleti!$B$2:$B$122,MATCH(B73,Gruppi_Atleti!$A$2:$A$122,0)),"")</f>
        <v/>
      </c>
    </row>
    <row r="74" spans="3:3" x14ac:dyDescent="0.25">
      <c r="C74" t="str">
        <f>IFERROR(INDEX(Gruppi_Atleti!$B$2:$B$122,MATCH(B74,Gruppi_Atleti!$A$2:$A$122,0)),"")</f>
        <v/>
      </c>
    </row>
    <row r="75" spans="3:3" x14ac:dyDescent="0.25">
      <c r="C75" t="str">
        <f>IFERROR(INDEX(Gruppi_Atleti!$B$2:$B$122,MATCH(B75,Gruppi_Atleti!$A$2:$A$122,0)),"")</f>
        <v/>
      </c>
    </row>
    <row r="76" spans="3:3" x14ac:dyDescent="0.25">
      <c r="C76" t="str">
        <f>IFERROR(INDEX(Gruppi_Atleti!$B$2:$B$122,MATCH(B76,Gruppi_Atleti!$A$2:$A$122,0)),"")</f>
        <v/>
      </c>
    </row>
    <row r="77" spans="3:3" x14ac:dyDescent="0.25">
      <c r="C77" t="str">
        <f>IFERROR(INDEX(Gruppi_Atleti!$B$2:$B$122,MATCH(B77,Gruppi_Atleti!$A$2:$A$122,0)),"")</f>
        <v/>
      </c>
    </row>
    <row r="78" spans="3:3" x14ac:dyDescent="0.25">
      <c r="C78" t="str">
        <f>IFERROR(INDEX(Gruppi_Atleti!$B$2:$B$122,MATCH(B78,Gruppi_Atleti!$A$2:$A$122,0)),"")</f>
        <v/>
      </c>
    </row>
    <row r="79" spans="3:3" x14ac:dyDescent="0.25">
      <c r="C79" t="str">
        <f>IFERROR(INDEX(Gruppi_Atleti!$B$2:$B$122,MATCH(B79,Gruppi_Atleti!$A$2:$A$122,0)),"")</f>
        <v/>
      </c>
    </row>
    <row r="80" spans="3:3" x14ac:dyDescent="0.25">
      <c r="C80" t="str">
        <f>IFERROR(INDEX(Gruppi_Atleti!$B$2:$B$122,MATCH(B80,Gruppi_Atleti!$A$2:$A$122,0)),"")</f>
        <v/>
      </c>
    </row>
    <row r="81" spans="3:3" x14ac:dyDescent="0.25">
      <c r="C81" t="str">
        <f>IFERROR(INDEX(Gruppi_Atleti!$B$2:$B$122,MATCH(B81,Gruppi_Atleti!$A$2:$A$122,0)),"")</f>
        <v/>
      </c>
    </row>
    <row r="82" spans="3:3" x14ac:dyDescent="0.25">
      <c r="C82" t="str">
        <f>IFERROR(INDEX(Gruppi_Atleti!$B$2:$B$122,MATCH(B82,Gruppi_Atleti!$A$2:$A$122,0)),"")</f>
        <v/>
      </c>
    </row>
    <row r="83" spans="3:3" x14ac:dyDescent="0.25">
      <c r="C83" t="str">
        <f>IFERROR(INDEX(Gruppi_Atleti!$B$2:$B$122,MATCH(B83,Gruppi_Atleti!$A$2:$A$122,0)),"")</f>
        <v/>
      </c>
    </row>
    <row r="84" spans="3:3" x14ac:dyDescent="0.25">
      <c r="C84" t="str">
        <f>IFERROR(INDEX(Gruppi_Atleti!$B$2:$B$122,MATCH(B84,Gruppi_Atleti!$A$2:$A$122,0)),"")</f>
        <v/>
      </c>
    </row>
    <row r="85" spans="3:3" x14ac:dyDescent="0.25">
      <c r="C85" t="str">
        <f>IFERROR(INDEX(Gruppi_Atleti!$B$2:$B$122,MATCH(B85,Gruppi_Atleti!$A$2:$A$122,0)),"")</f>
        <v/>
      </c>
    </row>
    <row r="86" spans="3:3" x14ac:dyDescent="0.25">
      <c r="C86" t="str">
        <f>IFERROR(INDEX(Gruppi_Atleti!$B$2:$B$122,MATCH(B86,Gruppi_Atleti!$A$2:$A$122,0)),"")</f>
        <v/>
      </c>
    </row>
    <row r="87" spans="3:3" x14ac:dyDescent="0.25">
      <c r="C87" t="str">
        <f>IFERROR(INDEX(Gruppi_Atleti!$B$2:$B$122,MATCH(B87,Gruppi_Atleti!$A$2:$A$122,0)),"")</f>
        <v/>
      </c>
    </row>
    <row r="88" spans="3:3" x14ac:dyDescent="0.25">
      <c r="C88" t="str">
        <f>IFERROR(INDEX(Gruppi_Atleti!$B$2:$B$122,MATCH(B88,Gruppi_Atleti!$A$2:$A$122,0)),"")</f>
        <v/>
      </c>
    </row>
    <row r="89" spans="3:3" x14ac:dyDescent="0.25">
      <c r="C89" t="str">
        <f>IFERROR(INDEX(Gruppi_Atleti!$B$2:$B$122,MATCH(B89,Gruppi_Atleti!$A$2:$A$122,0)),"")</f>
        <v/>
      </c>
    </row>
    <row r="90" spans="3:3" x14ac:dyDescent="0.25">
      <c r="C90" t="str">
        <f>IFERROR(INDEX(Gruppi_Atleti!$B$2:$B$122,MATCH(B90,Gruppi_Atleti!$A$2:$A$122,0)),"")</f>
        <v/>
      </c>
    </row>
    <row r="91" spans="3:3" x14ac:dyDescent="0.25">
      <c r="C91" t="str">
        <f>IFERROR(INDEX(Gruppi_Atleti!$B$2:$B$122,MATCH(B91,Gruppi_Atleti!$A$2:$A$122,0)),"")</f>
        <v/>
      </c>
    </row>
    <row r="92" spans="3:3" x14ac:dyDescent="0.25">
      <c r="C92" t="str">
        <f>IFERROR(INDEX(Gruppi_Atleti!$B$2:$B$122,MATCH(B92,Gruppi_Atleti!$A$2:$A$122,0)),"")</f>
        <v/>
      </c>
    </row>
    <row r="93" spans="3:3" x14ac:dyDescent="0.25">
      <c r="C93" t="str">
        <f>IFERROR(INDEX(Gruppi_Atleti!$B$2:$B$122,MATCH(B93,Gruppi_Atleti!$A$2:$A$122,0)),"")</f>
        <v/>
      </c>
    </row>
    <row r="94" spans="3:3" x14ac:dyDescent="0.25">
      <c r="C94" t="str">
        <f>IFERROR(INDEX(Gruppi_Atleti!$B$2:$B$122,MATCH(B94,Gruppi_Atleti!$A$2:$A$122,0)),"")</f>
        <v/>
      </c>
    </row>
    <row r="95" spans="3:3" x14ac:dyDescent="0.25">
      <c r="C95" t="str">
        <f>IFERROR(INDEX(Gruppi_Atleti!$B$2:$B$122,MATCH(B95,Gruppi_Atleti!$A$2:$A$122,0)),"")</f>
        <v/>
      </c>
    </row>
    <row r="96" spans="3:3" x14ac:dyDescent="0.25">
      <c r="C96" t="str">
        <f>IFERROR(INDEX(Gruppi_Atleti!$B$2:$B$122,MATCH(B96,Gruppi_Atleti!$A$2:$A$122,0)),"")</f>
        <v/>
      </c>
    </row>
    <row r="97" spans="3:3" x14ac:dyDescent="0.25">
      <c r="C97" t="str">
        <f>IFERROR(INDEX(Gruppi_Atleti!$B$2:$B$122,MATCH(B97,Gruppi_Atleti!$A$2:$A$122,0)),"")</f>
        <v/>
      </c>
    </row>
    <row r="98" spans="3:3" x14ac:dyDescent="0.25">
      <c r="C98" t="str">
        <f>IFERROR(INDEX(Gruppi_Atleti!$B$2:$B$122,MATCH(B98,Gruppi_Atleti!$A$2:$A$122,0)),"")</f>
        <v/>
      </c>
    </row>
    <row r="99" spans="3:3" x14ac:dyDescent="0.25">
      <c r="C99" t="str">
        <f>IFERROR(INDEX(Gruppi_Atleti!$B$2:$B$122,MATCH(B99,Gruppi_Atleti!$A$2:$A$122,0)),"")</f>
        <v/>
      </c>
    </row>
    <row r="100" spans="3:3" x14ac:dyDescent="0.25">
      <c r="C100" t="str">
        <f>IFERROR(INDEX(Gruppi_Atleti!$B$2:$B$122,MATCH(B100,Gruppi_Atleti!$A$2:$A$122,0)),"")</f>
        <v/>
      </c>
    </row>
    <row r="101" spans="3:3" x14ac:dyDescent="0.25">
      <c r="C101" t="str">
        <f>IFERROR(INDEX(Gruppi_Atleti!$B$2:$B$122,MATCH(B101,Gruppi_Atleti!$A$2:$A$122,0)),"")</f>
        <v/>
      </c>
    </row>
    <row r="102" spans="3:3" x14ac:dyDescent="0.25">
      <c r="C102" t="str">
        <f>IFERROR(INDEX(Gruppi_Atleti!$B$2:$B$122,MATCH(B102,Gruppi_Atleti!$A$2:$A$122,0)),"")</f>
        <v/>
      </c>
    </row>
    <row r="103" spans="3:3" x14ac:dyDescent="0.25">
      <c r="C103" t="str">
        <f>IFERROR(INDEX(Gruppi_Atleti!$B$2:$B$122,MATCH(B103,Gruppi_Atleti!$A$2:$A$122,0)),"")</f>
        <v/>
      </c>
    </row>
    <row r="104" spans="3:3" x14ac:dyDescent="0.25">
      <c r="C104" t="str">
        <f>IFERROR(INDEX(Gruppi_Atleti!$B$2:$B$122,MATCH(B104,Gruppi_Atleti!$A$2:$A$122,0)),"")</f>
        <v/>
      </c>
    </row>
    <row r="105" spans="3:3" x14ac:dyDescent="0.25">
      <c r="C105" t="str">
        <f>IFERROR(INDEX(Gruppi_Atleti!$B$2:$B$122,MATCH(B105,Gruppi_Atleti!$A$2:$A$122,0)),"")</f>
        <v/>
      </c>
    </row>
    <row r="106" spans="3:3" x14ac:dyDescent="0.25">
      <c r="C106" t="str">
        <f>IFERROR(INDEX(Gruppi_Atleti!$B$2:$B$122,MATCH(B106,Gruppi_Atleti!$A$2:$A$122,0)),"")</f>
        <v/>
      </c>
    </row>
    <row r="107" spans="3:3" x14ac:dyDescent="0.25">
      <c r="C107" t="str">
        <f>IFERROR(INDEX(Gruppi_Atleti!$B$2:$B$122,MATCH(B107,Gruppi_Atleti!$A$2:$A$122,0)),"")</f>
        <v/>
      </c>
    </row>
    <row r="108" spans="3:3" x14ac:dyDescent="0.25">
      <c r="C108" t="str">
        <f>IFERROR(INDEX(Gruppi_Atleti!$B$2:$B$122,MATCH(B108,Gruppi_Atleti!$A$2:$A$122,0)),"")</f>
        <v/>
      </c>
    </row>
    <row r="109" spans="3:3" x14ac:dyDescent="0.25">
      <c r="C109" t="str">
        <f>IFERROR(INDEX(Gruppi_Atleti!$B$2:$B$122,MATCH(B109,Gruppi_Atleti!$A$2:$A$122,0)),"")</f>
        <v/>
      </c>
    </row>
    <row r="110" spans="3:3" x14ac:dyDescent="0.25">
      <c r="C110" t="str">
        <f>IFERROR(INDEX(Gruppi_Atleti!$B$2:$B$122,MATCH(B110,Gruppi_Atleti!$A$2:$A$122,0)),"")</f>
        <v/>
      </c>
    </row>
    <row r="111" spans="3:3" x14ac:dyDescent="0.25">
      <c r="C111" t="str">
        <f>IFERROR(INDEX(Gruppi_Atleti!$B$2:$B$122,MATCH(B111,Gruppi_Atleti!$A$2:$A$122,0)),"")</f>
        <v/>
      </c>
    </row>
    <row r="112" spans="3:3" x14ac:dyDescent="0.25">
      <c r="C112" t="str">
        <f>IFERROR(INDEX(Gruppi_Atleti!$B$2:$B$122,MATCH(B112,Gruppi_Atleti!$A$2:$A$122,0)),"")</f>
        <v/>
      </c>
    </row>
    <row r="113" spans="3:3" x14ac:dyDescent="0.25">
      <c r="C113" t="str">
        <f>IFERROR(INDEX(Gruppi_Atleti!$B$2:$B$122,MATCH(B113,Gruppi_Atleti!$A$2:$A$122,0)),"")</f>
        <v/>
      </c>
    </row>
    <row r="114" spans="3:3" x14ac:dyDescent="0.25">
      <c r="C114" t="str">
        <f>IFERROR(INDEX(Gruppi_Atleti!$B$2:$B$122,MATCH(B114,Gruppi_Atleti!$A$2:$A$122,0)),"")</f>
        <v/>
      </c>
    </row>
    <row r="115" spans="3:3" x14ac:dyDescent="0.25">
      <c r="C115" t="str">
        <f>IFERROR(INDEX(Gruppi_Atleti!$B$2:$B$122,MATCH(B115,Gruppi_Atleti!$A$2:$A$122,0)),"")</f>
        <v/>
      </c>
    </row>
    <row r="116" spans="3:3" x14ac:dyDescent="0.25">
      <c r="C116" t="str">
        <f>IFERROR(INDEX(Gruppi_Atleti!$B$2:$B$122,MATCH(B116,Gruppi_Atleti!$A$2:$A$122,0)),"")</f>
        <v/>
      </c>
    </row>
    <row r="117" spans="3:3" x14ac:dyDescent="0.25">
      <c r="C117" t="str">
        <f>IFERROR(INDEX(Gruppi_Atleti!$B$2:$B$122,MATCH(B117,Gruppi_Atleti!$A$2:$A$122,0)),"")</f>
        <v/>
      </c>
    </row>
    <row r="118" spans="3:3" x14ac:dyDescent="0.25">
      <c r="C118" t="str">
        <f>IFERROR(INDEX(Gruppi_Atleti!$B$2:$B$122,MATCH(B118,Gruppi_Atleti!$A$2:$A$122,0)),"")</f>
        <v/>
      </c>
    </row>
    <row r="119" spans="3:3" x14ac:dyDescent="0.25">
      <c r="C119" t="str">
        <f>IFERROR(INDEX(Gruppi_Atleti!$B$2:$B$122,MATCH(B119,Gruppi_Atleti!$A$2:$A$122,0)),"")</f>
        <v/>
      </c>
    </row>
    <row r="120" spans="3:3" x14ac:dyDescent="0.25">
      <c r="C120" t="str">
        <f>IFERROR(INDEX(Gruppi_Atleti!$B$2:$B$122,MATCH(B120,Gruppi_Atleti!$A$2:$A$122,0)),"")</f>
        <v/>
      </c>
    </row>
    <row r="121" spans="3:3" x14ac:dyDescent="0.25">
      <c r="C121" t="str">
        <f>IFERROR(INDEX(Gruppi_Atleti!$B$2:$B$122,MATCH(B121,Gruppi_Atleti!$A$2:$A$122,0)),"")</f>
        <v/>
      </c>
    </row>
    <row r="122" spans="3:3" x14ac:dyDescent="0.25">
      <c r="C122" t="str">
        <f>IFERROR(INDEX(Gruppi_Atleti!$B$2:$B$122,MATCH(B122,Gruppi_Atleti!$A$2:$A$122,0)),"")</f>
        <v/>
      </c>
    </row>
    <row r="123" spans="3:3" x14ac:dyDescent="0.25">
      <c r="C123" t="str">
        <f>IFERROR(INDEX(Gruppi_Atleti!$B$2:$B$122,MATCH(B123,Gruppi_Atleti!$A$2:$A$122,0)),"")</f>
        <v/>
      </c>
    </row>
    <row r="124" spans="3:3" x14ac:dyDescent="0.25">
      <c r="C124" t="str">
        <f>IFERROR(INDEX(Gruppi_Atleti!$B$2:$B$122,MATCH(B124,Gruppi_Atleti!$A$2:$A$122,0)),"")</f>
        <v/>
      </c>
    </row>
    <row r="125" spans="3:3" x14ac:dyDescent="0.25">
      <c r="C125" t="str">
        <f>IFERROR(INDEX(Gruppi_Atleti!$B$2:$B$122,MATCH(B125,Gruppi_Atleti!$A$2:$A$122,0)),"")</f>
        <v/>
      </c>
    </row>
    <row r="126" spans="3:3" x14ac:dyDescent="0.25">
      <c r="C126" t="str">
        <f>IFERROR(INDEX(Gruppi_Atleti!$B$2:$B$122,MATCH(B126,Gruppi_Atleti!$A$2:$A$122,0)),"")</f>
        <v/>
      </c>
    </row>
    <row r="127" spans="3:3" x14ac:dyDescent="0.25">
      <c r="C127" t="str">
        <f>IFERROR(INDEX(Gruppi_Atleti!$B$2:$B$122,MATCH(B127,Gruppi_Atleti!$A$2:$A$122,0)),"")</f>
        <v/>
      </c>
    </row>
    <row r="128" spans="3:3" x14ac:dyDescent="0.25">
      <c r="C128" t="str">
        <f>IFERROR(INDEX(Gruppi_Atleti!$B$2:$B$122,MATCH(B128,Gruppi_Atleti!$A$2:$A$122,0)),"")</f>
        <v/>
      </c>
    </row>
    <row r="129" spans="3:3" x14ac:dyDescent="0.25">
      <c r="C129" t="str">
        <f>IFERROR(INDEX(Gruppi_Atleti!$B$2:$B$122,MATCH(B129,Gruppi_Atleti!$A$2:$A$122,0)),"")</f>
        <v/>
      </c>
    </row>
    <row r="130" spans="3:3" x14ac:dyDescent="0.25">
      <c r="C130" t="str">
        <f>IFERROR(INDEX(Gruppi_Atleti!$B$2:$B$122,MATCH(B130,Gruppi_Atleti!$A$2:$A$122,0)),"")</f>
        <v/>
      </c>
    </row>
    <row r="131" spans="3:3" x14ac:dyDescent="0.25">
      <c r="C131" t="str">
        <f>IFERROR(INDEX(Gruppi_Atleti!$B$2:$B$122,MATCH(B131,Gruppi_Atleti!$A$2:$A$122,0)),"")</f>
        <v/>
      </c>
    </row>
    <row r="132" spans="3:3" x14ac:dyDescent="0.25">
      <c r="C132" t="str">
        <f>IFERROR(INDEX(Gruppi_Atleti!$B$2:$B$122,MATCH(B132,Gruppi_Atleti!$A$2:$A$122,0)),"")</f>
        <v/>
      </c>
    </row>
    <row r="133" spans="3:3" x14ac:dyDescent="0.25">
      <c r="C133" t="str">
        <f>IFERROR(INDEX(Gruppi_Atleti!$B$2:$B$122,MATCH(B133,Gruppi_Atleti!$A$2:$A$122,0)),"")</f>
        <v/>
      </c>
    </row>
    <row r="134" spans="3:3" x14ac:dyDescent="0.25">
      <c r="C134" t="str">
        <f>IFERROR(INDEX(Gruppi_Atleti!$B$2:$B$122,MATCH(B134,Gruppi_Atleti!$A$2:$A$122,0)),"")</f>
        <v/>
      </c>
    </row>
    <row r="135" spans="3:3" x14ac:dyDescent="0.25">
      <c r="C135" t="str">
        <f>IFERROR(INDEX(Gruppi_Atleti!$B$2:$B$122,MATCH(B135,Gruppi_Atleti!$A$2:$A$122,0)),"")</f>
        <v/>
      </c>
    </row>
    <row r="136" spans="3:3" x14ac:dyDescent="0.25">
      <c r="C136" t="str">
        <f>IFERROR(INDEX(Gruppi_Atleti!$B$2:$B$122,MATCH(B136,Gruppi_Atleti!$A$2:$A$122,0)),"")</f>
        <v/>
      </c>
    </row>
    <row r="137" spans="3:3" x14ac:dyDescent="0.25">
      <c r="C137" t="str">
        <f>IFERROR(INDEX(Gruppi_Atleti!$B$2:$B$122,MATCH(B137,Gruppi_Atleti!$A$2:$A$122,0)),"")</f>
        <v/>
      </c>
    </row>
    <row r="138" spans="3:3" x14ac:dyDescent="0.25">
      <c r="C138" t="str">
        <f>IFERROR(INDEX(Gruppi_Atleti!$B$2:$B$122,MATCH(B138,Gruppi_Atleti!$A$2:$A$122,0)),"")</f>
        <v/>
      </c>
    </row>
    <row r="139" spans="3:3" x14ac:dyDescent="0.25">
      <c r="C139" t="str">
        <f>IFERROR(INDEX(Gruppi_Atleti!$B$2:$B$122,MATCH(B139,Gruppi_Atleti!$A$2:$A$122,0)),"")</f>
        <v/>
      </c>
    </row>
    <row r="140" spans="3:3" x14ac:dyDescent="0.25">
      <c r="C140" t="str">
        <f>IFERROR(INDEX(Gruppi_Atleti!$B$2:$B$122,MATCH(B140,Gruppi_Atleti!$A$2:$A$122,0)),"")</f>
        <v/>
      </c>
    </row>
    <row r="141" spans="3:3" x14ac:dyDescent="0.25">
      <c r="C141" t="str">
        <f>IFERROR(INDEX(Gruppi_Atleti!$B$2:$B$122,MATCH(B141,Gruppi_Atleti!$A$2:$A$122,0)),"")</f>
        <v/>
      </c>
    </row>
    <row r="142" spans="3:3" x14ac:dyDescent="0.25">
      <c r="C142" t="str">
        <f>IFERROR(INDEX(Gruppi_Atleti!$B$2:$B$122,MATCH(B142,Gruppi_Atleti!$A$2:$A$122,0)),"")</f>
        <v/>
      </c>
    </row>
    <row r="143" spans="3:3" x14ac:dyDescent="0.25">
      <c r="C143" t="str">
        <f>IFERROR(INDEX(Gruppi_Atleti!$B$2:$B$122,MATCH(B143,Gruppi_Atleti!$A$2:$A$122,0)),"")</f>
        <v/>
      </c>
    </row>
    <row r="144" spans="3:3" x14ac:dyDescent="0.25">
      <c r="C144" t="str">
        <f>IFERROR(INDEX(Gruppi_Atleti!$B$2:$B$122,MATCH(B144,Gruppi_Atleti!$A$2:$A$122,0)),"")</f>
        <v/>
      </c>
    </row>
    <row r="145" spans="3:3" x14ac:dyDescent="0.25">
      <c r="C145" t="str">
        <f>IFERROR(INDEX(Gruppi_Atleti!$B$2:$B$122,MATCH(B145,Gruppi_Atleti!$A$2:$A$122,0)),"")</f>
        <v/>
      </c>
    </row>
    <row r="146" spans="3:3" x14ac:dyDescent="0.25">
      <c r="C146" t="str">
        <f>IFERROR(INDEX(Gruppi_Atleti!$B$2:$B$122,MATCH(B146,Gruppi_Atleti!$A$2:$A$122,0)),"")</f>
        <v/>
      </c>
    </row>
    <row r="147" spans="3:3" x14ac:dyDescent="0.25">
      <c r="C147" t="str">
        <f>IFERROR(INDEX(Gruppi_Atleti!$B$2:$B$122,MATCH(B147,Gruppi_Atleti!$A$2:$A$122,0)),"")</f>
        <v/>
      </c>
    </row>
    <row r="148" spans="3:3" x14ac:dyDescent="0.25">
      <c r="C148" t="str">
        <f>IFERROR(INDEX(Gruppi_Atleti!$B$2:$B$122,MATCH(B148,Gruppi_Atleti!$A$2:$A$122,0)),"")</f>
        <v/>
      </c>
    </row>
    <row r="149" spans="3:3" x14ac:dyDescent="0.25">
      <c r="C149" t="str">
        <f>IFERROR(INDEX(Gruppi_Atleti!$B$2:$B$122,MATCH(B149,Gruppi_Atleti!$A$2:$A$122,0)),"")</f>
        <v/>
      </c>
    </row>
    <row r="150" spans="3:3" x14ac:dyDescent="0.25">
      <c r="C150" t="str">
        <f>IFERROR(INDEX(Gruppi_Atleti!$B$2:$B$122,MATCH(B150,Gruppi_Atleti!$A$2:$A$122,0)),"")</f>
        <v/>
      </c>
    </row>
    <row r="151" spans="3:3" x14ac:dyDescent="0.25">
      <c r="C151" t="str">
        <f>IFERROR(INDEX(Gruppi_Atleti!$B$2:$B$122,MATCH(B151,Gruppi_Atleti!$A$2:$A$122,0)),"")</f>
        <v/>
      </c>
    </row>
    <row r="152" spans="3:3" x14ac:dyDescent="0.25">
      <c r="C152" t="str">
        <f>IFERROR(INDEX(Gruppi_Atleti!$B$2:$B$122,MATCH(B152,Gruppi_Atleti!$A$2:$A$122,0)),"")</f>
        <v/>
      </c>
    </row>
    <row r="153" spans="3:3" x14ac:dyDescent="0.25">
      <c r="C153" t="str">
        <f>IFERROR(INDEX(Gruppi_Atleti!$B$2:$B$122,MATCH(B153,Gruppi_Atleti!$A$2:$A$122,0)),"")</f>
        <v/>
      </c>
    </row>
    <row r="154" spans="3:3" x14ac:dyDescent="0.25">
      <c r="C154" t="str">
        <f>IFERROR(INDEX(Gruppi_Atleti!$B$2:$B$122,MATCH(B154,Gruppi_Atleti!$A$2:$A$122,0)),"")</f>
        <v/>
      </c>
    </row>
    <row r="155" spans="3:3" x14ac:dyDescent="0.25">
      <c r="C155" t="str">
        <f>IFERROR(INDEX(Gruppi_Atleti!$B$2:$B$122,MATCH(B155,Gruppi_Atleti!$A$2:$A$122,0)),"")</f>
        <v/>
      </c>
    </row>
    <row r="156" spans="3:3" x14ac:dyDescent="0.25">
      <c r="C156" t="str">
        <f>IFERROR(INDEX(Gruppi_Atleti!$B$2:$B$122,MATCH(B156,Gruppi_Atleti!$A$2:$A$122,0)),"")</f>
        <v/>
      </c>
    </row>
    <row r="157" spans="3:3" x14ac:dyDescent="0.25">
      <c r="C157" t="str">
        <f>IFERROR(INDEX(Gruppi_Atleti!$B$2:$B$122,MATCH(B157,Gruppi_Atleti!$A$2:$A$122,0)),"")</f>
        <v/>
      </c>
    </row>
    <row r="158" spans="3:3" x14ac:dyDescent="0.25">
      <c r="C158" t="str">
        <f>IFERROR(INDEX(Gruppi_Atleti!$B$2:$B$122,MATCH(B158,Gruppi_Atleti!$A$2:$A$122,0)),"")</f>
        <v/>
      </c>
    </row>
    <row r="159" spans="3:3" x14ac:dyDescent="0.25">
      <c r="C159" t="str">
        <f>IFERROR(INDEX(Gruppi_Atleti!$B$2:$B$122,MATCH(B159,Gruppi_Atleti!$A$2:$A$122,0)),"")</f>
        <v/>
      </c>
    </row>
    <row r="160" spans="3:3" x14ac:dyDescent="0.25">
      <c r="C160" t="str">
        <f>IFERROR(INDEX(Gruppi_Atleti!$B$2:$B$122,MATCH(B160,Gruppi_Atleti!$A$2:$A$122,0)),"")</f>
        <v/>
      </c>
    </row>
    <row r="161" spans="3:3" x14ac:dyDescent="0.25">
      <c r="C161" t="str">
        <f>IFERROR(INDEX(Gruppi_Atleti!$B$2:$B$122,MATCH(B161,Gruppi_Atleti!$A$2:$A$122,0)),"")</f>
        <v/>
      </c>
    </row>
    <row r="162" spans="3:3" x14ac:dyDescent="0.25">
      <c r="C162" t="str">
        <f>IFERROR(INDEX(Gruppi_Atleti!$B$2:$B$122,MATCH(B162,Gruppi_Atleti!$A$2:$A$122,0)),"")</f>
        <v/>
      </c>
    </row>
    <row r="163" spans="3:3" x14ac:dyDescent="0.25">
      <c r="C163" t="str">
        <f>IFERROR(INDEX(Gruppi_Atleti!$B$2:$B$122,MATCH(B163,Gruppi_Atleti!$A$2:$A$122,0)),"")</f>
        <v/>
      </c>
    </row>
    <row r="164" spans="3:3" x14ac:dyDescent="0.25">
      <c r="C164" t="str">
        <f>IFERROR(INDEX(Gruppi_Atleti!$B$2:$B$122,MATCH(B164,Gruppi_Atleti!$A$2:$A$122,0)),"")</f>
        <v/>
      </c>
    </row>
    <row r="165" spans="3:3" x14ac:dyDescent="0.25">
      <c r="C165" t="str">
        <f>IFERROR(INDEX(Gruppi_Atleti!$B$2:$B$122,MATCH(B165,Gruppi_Atleti!$A$2:$A$122,0)),"")</f>
        <v/>
      </c>
    </row>
    <row r="166" spans="3:3" x14ac:dyDescent="0.25">
      <c r="C166" t="str">
        <f>IFERROR(INDEX(Gruppi_Atleti!$B$2:$B$122,MATCH(B166,Gruppi_Atleti!$A$2:$A$122,0)),"")</f>
        <v/>
      </c>
    </row>
    <row r="167" spans="3:3" x14ac:dyDescent="0.25">
      <c r="C167" t="str">
        <f>IFERROR(INDEX(Gruppi_Atleti!$B$2:$B$122,MATCH(B167,Gruppi_Atleti!$A$2:$A$122,0)),"")</f>
        <v/>
      </c>
    </row>
    <row r="168" spans="3:3" x14ac:dyDescent="0.25">
      <c r="C168" t="str">
        <f>IFERROR(INDEX(Gruppi_Atleti!$B$2:$B$122,MATCH(B168,Gruppi_Atleti!$A$2:$A$122,0)),"")</f>
        <v/>
      </c>
    </row>
    <row r="169" spans="3:3" x14ac:dyDescent="0.25">
      <c r="C169" t="str">
        <f>IFERROR(INDEX(Gruppi_Atleti!$B$2:$B$122,MATCH(B169,Gruppi_Atleti!$A$2:$A$122,0)),"")</f>
        <v/>
      </c>
    </row>
    <row r="170" spans="3:3" x14ac:dyDescent="0.25">
      <c r="C170" t="str">
        <f>IFERROR(INDEX(Gruppi_Atleti!$B$2:$B$122,MATCH(B170,Gruppi_Atleti!$A$2:$A$122,0)),"")</f>
        <v/>
      </c>
    </row>
    <row r="171" spans="3:3" x14ac:dyDescent="0.25">
      <c r="C171" t="str">
        <f>IFERROR(INDEX(Gruppi_Atleti!$B$2:$B$122,MATCH(B171,Gruppi_Atleti!$A$2:$A$122,0)),"")</f>
        <v/>
      </c>
    </row>
    <row r="172" spans="3:3" x14ac:dyDescent="0.25">
      <c r="C172" t="str">
        <f>IFERROR(INDEX(Gruppi_Atleti!$B$2:$B$122,MATCH(B172,Gruppi_Atleti!$A$2:$A$122,0)),"")</f>
        <v/>
      </c>
    </row>
    <row r="173" spans="3:3" x14ac:dyDescent="0.25">
      <c r="C173" t="str">
        <f>IFERROR(INDEX(Gruppi_Atleti!$B$2:$B$122,MATCH(B173,Gruppi_Atleti!$A$2:$A$122,0)),"")</f>
        <v/>
      </c>
    </row>
    <row r="174" spans="3:3" x14ac:dyDescent="0.25">
      <c r="C174" t="str">
        <f>IFERROR(INDEX(Gruppi_Atleti!$B$2:$B$122,MATCH(B174,Gruppi_Atleti!$A$2:$A$122,0)),"")</f>
        <v/>
      </c>
    </row>
    <row r="175" spans="3:3" x14ac:dyDescent="0.25">
      <c r="C175" t="str">
        <f>IFERROR(INDEX(Gruppi_Atleti!$B$2:$B$122,MATCH(B175,Gruppi_Atleti!$A$2:$A$122,0)),"")</f>
        <v/>
      </c>
    </row>
    <row r="176" spans="3:3" x14ac:dyDescent="0.25">
      <c r="C176" t="str">
        <f>IFERROR(INDEX(Gruppi_Atleti!$B$2:$B$122,MATCH(B176,Gruppi_Atleti!$A$2:$A$122,0)),"")</f>
        <v/>
      </c>
    </row>
    <row r="177" spans="3:3" x14ac:dyDescent="0.25">
      <c r="C177" t="str">
        <f>IFERROR(INDEX(Gruppi_Atleti!$B$2:$B$122,MATCH(B177,Gruppi_Atleti!$A$2:$A$122,0)),"")</f>
        <v/>
      </c>
    </row>
    <row r="178" spans="3:3" x14ac:dyDescent="0.25">
      <c r="C178" t="str">
        <f>IFERROR(INDEX(Gruppi_Atleti!$B$2:$B$122,MATCH(B178,Gruppi_Atleti!$A$2:$A$122,0)),"")</f>
        <v/>
      </c>
    </row>
    <row r="179" spans="3:3" x14ac:dyDescent="0.25">
      <c r="C179" t="str">
        <f>IFERROR(INDEX(Gruppi_Atleti!$B$2:$B$122,MATCH(B179,Gruppi_Atleti!$A$2:$A$122,0)),"")</f>
        <v/>
      </c>
    </row>
    <row r="180" spans="3:3" x14ac:dyDescent="0.25">
      <c r="C180" t="str">
        <f>IFERROR(INDEX(Gruppi_Atleti!$B$2:$B$122,MATCH(B180,Gruppi_Atleti!$A$2:$A$122,0)),"")</f>
        <v/>
      </c>
    </row>
    <row r="181" spans="3:3" x14ac:dyDescent="0.25">
      <c r="C181" t="str">
        <f>IFERROR(INDEX(Gruppi_Atleti!$B$2:$B$122,MATCH(B181,Gruppi_Atleti!$A$2:$A$122,0)),"")</f>
        <v/>
      </c>
    </row>
    <row r="182" spans="3:3" x14ac:dyDescent="0.25">
      <c r="C182" t="str">
        <f>IFERROR(INDEX(Gruppi_Atleti!$B$2:$B$122,MATCH(B182,Gruppi_Atleti!$A$2:$A$122,0)),"")</f>
        <v/>
      </c>
    </row>
    <row r="183" spans="3:3" x14ac:dyDescent="0.25">
      <c r="C183" t="str">
        <f>IFERROR(INDEX(Gruppi_Atleti!$B$2:$B$122,MATCH(B183,Gruppi_Atleti!$A$2:$A$122,0)),"")</f>
        <v/>
      </c>
    </row>
    <row r="184" spans="3:3" x14ac:dyDescent="0.25">
      <c r="C184" t="str">
        <f>IFERROR(INDEX(Gruppi_Atleti!$B$2:$B$122,MATCH(B184,Gruppi_Atleti!$A$2:$A$122,0)),"")</f>
        <v/>
      </c>
    </row>
    <row r="185" spans="3:3" x14ac:dyDescent="0.25">
      <c r="C185" t="str">
        <f>IFERROR(INDEX(Gruppi_Atleti!$B$2:$B$122,MATCH(B185,Gruppi_Atleti!$A$2:$A$122,0)),"")</f>
        <v/>
      </c>
    </row>
    <row r="186" spans="3:3" x14ac:dyDescent="0.25">
      <c r="C186" t="str">
        <f>IFERROR(INDEX(Gruppi_Atleti!$B$2:$B$122,MATCH(B186,Gruppi_Atleti!$A$2:$A$122,0)),"")</f>
        <v/>
      </c>
    </row>
    <row r="187" spans="3:3" x14ac:dyDescent="0.25">
      <c r="C187" t="str">
        <f>IFERROR(INDEX(Gruppi_Atleti!$B$2:$B$122,MATCH(B187,Gruppi_Atleti!$A$2:$A$122,0)),"")</f>
        <v/>
      </c>
    </row>
    <row r="188" spans="3:3" x14ac:dyDescent="0.25">
      <c r="C188" t="str">
        <f>IFERROR(INDEX(Gruppi_Atleti!$B$2:$B$122,MATCH(B188,Gruppi_Atleti!$A$2:$A$122,0)),"")</f>
        <v/>
      </c>
    </row>
    <row r="189" spans="3:3" x14ac:dyDescent="0.25">
      <c r="C189" t="str">
        <f>IFERROR(INDEX(Gruppi_Atleti!$B$2:$B$122,MATCH(B189,Gruppi_Atleti!$A$2:$A$122,0)),"")</f>
        <v/>
      </c>
    </row>
    <row r="190" spans="3:3" x14ac:dyDescent="0.25">
      <c r="C190" t="str">
        <f>IFERROR(INDEX(Gruppi_Atleti!$B$2:$B$122,MATCH(B190,Gruppi_Atleti!$A$2:$A$122,0)),"")</f>
        <v/>
      </c>
    </row>
    <row r="191" spans="3:3" x14ac:dyDescent="0.25">
      <c r="C191" t="str">
        <f>IFERROR(INDEX(Gruppi_Atleti!$B$2:$B$122,MATCH(B191,Gruppi_Atleti!$A$2:$A$122,0)),"")</f>
        <v/>
      </c>
    </row>
    <row r="192" spans="3:3" x14ac:dyDescent="0.25">
      <c r="C192" t="str">
        <f>IFERROR(INDEX(Gruppi_Atleti!$B$2:$B$122,MATCH(B192,Gruppi_Atleti!$A$2:$A$122,0)),"")</f>
        <v/>
      </c>
    </row>
    <row r="193" spans="3:3" x14ac:dyDescent="0.25">
      <c r="C193" t="str">
        <f>IFERROR(INDEX(Gruppi_Atleti!$B$2:$B$122,MATCH(B193,Gruppi_Atleti!$A$2:$A$122,0)),"")</f>
        <v/>
      </c>
    </row>
    <row r="194" spans="3:3" x14ac:dyDescent="0.25">
      <c r="C194" t="str">
        <f>IFERROR(INDEX(Gruppi_Atleti!$B$2:$B$122,MATCH(B194,Gruppi_Atleti!$A$2:$A$122,0)),"")</f>
        <v/>
      </c>
    </row>
    <row r="195" spans="3:3" x14ac:dyDescent="0.25">
      <c r="C195" t="str">
        <f>IFERROR(INDEX(Gruppi_Atleti!$B$2:$B$122,MATCH(B195,Gruppi_Atleti!$A$2:$A$122,0)),"")</f>
        <v/>
      </c>
    </row>
    <row r="196" spans="3:3" x14ac:dyDescent="0.25">
      <c r="C196" t="str">
        <f>IFERROR(INDEX(Gruppi_Atleti!$B$2:$B$122,MATCH(B196,Gruppi_Atleti!$A$2:$A$122,0)),"")</f>
        <v/>
      </c>
    </row>
    <row r="197" spans="3:3" x14ac:dyDescent="0.25">
      <c r="C197" t="str">
        <f>IFERROR(INDEX(Gruppi_Atleti!$B$2:$B$122,MATCH(B197,Gruppi_Atleti!$A$2:$A$122,0)),"")</f>
        <v/>
      </c>
    </row>
    <row r="198" spans="3:3" x14ac:dyDescent="0.25">
      <c r="C198" t="str">
        <f>IFERROR(INDEX(Gruppi_Atleti!$B$2:$B$122,MATCH(B198,Gruppi_Atleti!$A$2:$A$122,0)),"")</f>
        <v/>
      </c>
    </row>
    <row r="199" spans="3:3" x14ac:dyDescent="0.25">
      <c r="C199" t="str">
        <f>IFERROR(INDEX(Gruppi_Atleti!$B$2:$B$122,MATCH(B199,Gruppi_Atleti!$A$2:$A$122,0)),"")</f>
        <v/>
      </c>
    </row>
    <row r="200" spans="3:3" x14ac:dyDescent="0.25">
      <c r="C200" t="str">
        <f>IFERROR(INDEX(Gruppi_Atleti!$B$2:$B$122,MATCH(B200,Gruppi_Atleti!$A$2:$A$122,0)),"")</f>
        <v/>
      </c>
    </row>
    <row r="201" spans="3:3" x14ac:dyDescent="0.25">
      <c r="C201" t="str">
        <f>IFERROR(INDEX(Gruppi_Atleti!$B$2:$B$122,MATCH(B201,Gruppi_Atleti!$A$2:$A$122,0)),"")</f>
        <v/>
      </c>
    </row>
    <row r="202" spans="3:3" x14ac:dyDescent="0.25">
      <c r="C202" t="str">
        <f>IFERROR(INDEX(Gruppi_Atleti!$B$2:$B$122,MATCH(B202,Gruppi_Atleti!$A$2:$A$122,0)),"")</f>
        <v/>
      </c>
    </row>
    <row r="203" spans="3:3" x14ac:dyDescent="0.25">
      <c r="C203" t="str">
        <f>IFERROR(INDEX(Gruppi_Atleti!$B$2:$B$122,MATCH(B203,Gruppi_Atleti!$A$2:$A$122,0)),"")</f>
        <v/>
      </c>
    </row>
    <row r="204" spans="3:3" x14ac:dyDescent="0.25">
      <c r="C204" t="str">
        <f>IFERROR(INDEX(Gruppi_Atleti!$B$2:$B$122,MATCH(B204,Gruppi_Atleti!$A$2:$A$122,0)),"")</f>
        <v/>
      </c>
    </row>
    <row r="205" spans="3:3" x14ac:dyDescent="0.25">
      <c r="C205" t="str">
        <f>IFERROR(INDEX(Gruppi_Atleti!$B$2:$B$122,MATCH(B205,Gruppi_Atleti!$A$2:$A$122,0)),"")</f>
        <v/>
      </c>
    </row>
    <row r="206" spans="3:3" x14ac:dyDescent="0.25">
      <c r="C206" t="str">
        <f>IFERROR(INDEX(Gruppi_Atleti!$B$2:$B$122,MATCH(B206,Gruppi_Atleti!$A$2:$A$122,0)),"")</f>
        <v/>
      </c>
    </row>
    <row r="207" spans="3:3" x14ac:dyDescent="0.25">
      <c r="C207" t="str">
        <f>IFERROR(INDEX(Gruppi_Atleti!$B$2:$B$122,MATCH(B207,Gruppi_Atleti!$A$2:$A$122,0)),"")</f>
        <v/>
      </c>
    </row>
    <row r="208" spans="3:3" x14ac:dyDescent="0.25">
      <c r="C208" t="str">
        <f>IFERROR(INDEX(Gruppi_Atleti!$B$2:$B$122,MATCH(B208,Gruppi_Atleti!$A$2:$A$122,0)),"")</f>
        <v/>
      </c>
    </row>
    <row r="209" spans="3:3" x14ac:dyDescent="0.25">
      <c r="C209" t="str">
        <f>IFERROR(INDEX(Gruppi_Atleti!$B$2:$B$122,MATCH(B209,Gruppi_Atleti!$A$2:$A$122,0)),"")</f>
        <v/>
      </c>
    </row>
    <row r="210" spans="3:3" x14ac:dyDescent="0.25">
      <c r="C210" t="str">
        <f>IFERROR(INDEX(Gruppi_Atleti!$B$2:$B$122,MATCH(B210,Gruppi_Atleti!$A$2:$A$122,0)),"")</f>
        <v/>
      </c>
    </row>
    <row r="211" spans="3:3" x14ac:dyDescent="0.25">
      <c r="C211" t="str">
        <f>IFERROR(INDEX(Gruppi_Atleti!$B$2:$B$122,MATCH(B211,Gruppi_Atleti!$A$2:$A$122,0)),"")</f>
        <v/>
      </c>
    </row>
    <row r="212" spans="3:3" x14ac:dyDescent="0.25">
      <c r="C212" t="str">
        <f>IFERROR(INDEX(Gruppi_Atleti!$B$2:$B$122,MATCH(B212,Gruppi_Atleti!$A$2:$A$122,0)),"")</f>
        <v/>
      </c>
    </row>
    <row r="213" spans="3:3" x14ac:dyDescent="0.25">
      <c r="C213" t="str">
        <f>IFERROR(INDEX(Gruppi_Atleti!$B$2:$B$122,MATCH(B213,Gruppi_Atleti!$A$2:$A$122,0)),"")</f>
        <v/>
      </c>
    </row>
    <row r="214" spans="3:3" x14ac:dyDescent="0.25">
      <c r="C214" t="str">
        <f>IFERROR(INDEX(Gruppi_Atleti!$B$2:$B$122,MATCH(B214,Gruppi_Atleti!$A$2:$A$122,0)),"")</f>
        <v/>
      </c>
    </row>
    <row r="215" spans="3:3" x14ac:dyDescent="0.25">
      <c r="C215" t="str">
        <f>IFERROR(INDEX(Gruppi_Atleti!$B$2:$B$122,MATCH(B215,Gruppi_Atleti!$A$2:$A$122,0)),"")</f>
        <v/>
      </c>
    </row>
    <row r="216" spans="3:3" x14ac:dyDescent="0.25">
      <c r="C216" t="str">
        <f>IFERROR(INDEX(Gruppi_Atleti!$B$2:$B$122,MATCH(B216,Gruppi_Atleti!$A$2:$A$122,0)),"")</f>
        <v/>
      </c>
    </row>
    <row r="217" spans="3:3" x14ac:dyDescent="0.25">
      <c r="C217" t="str">
        <f>IFERROR(INDEX(Gruppi_Atleti!$B$2:$B$122,MATCH(B217,Gruppi_Atleti!$A$2:$A$122,0)),"")</f>
        <v/>
      </c>
    </row>
    <row r="218" spans="3:3" x14ac:dyDescent="0.25">
      <c r="C218" t="str">
        <f>IFERROR(INDEX(Gruppi_Atleti!$B$2:$B$122,MATCH(B218,Gruppi_Atleti!$A$2:$A$122,0)),"")</f>
        <v/>
      </c>
    </row>
    <row r="219" spans="3:3" x14ac:dyDescent="0.25">
      <c r="C219" t="str">
        <f>IFERROR(INDEX(Gruppi_Atleti!$B$2:$B$122,MATCH(B219,Gruppi_Atleti!$A$2:$A$122,0)),"")</f>
        <v/>
      </c>
    </row>
    <row r="220" spans="3:3" x14ac:dyDescent="0.25">
      <c r="C220" t="str">
        <f>IFERROR(INDEX(Gruppi_Atleti!$B$2:$B$122,MATCH(B220,Gruppi_Atleti!$A$2:$A$122,0)),"")</f>
        <v/>
      </c>
    </row>
    <row r="221" spans="3:3" x14ac:dyDescent="0.25">
      <c r="C221" t="str">
        <f>IFERROR(INDEX(Gruppi_Atleti!$B$2:$B$122,MATCH(B221,Gruppi_Atleti!$A$2:$A$122,0)),"")</f>
        <v/>
      </c>
    </row>
    <row r="222" spans="3:3" x14ac:dyDescent="0.25">
      <c r="C222" t="str">
        <f>IFERROR(INDEX(Gruppi_Atleti!$B$2:$B$122,MATCH(B222,Gruppi_Atleti!$A$2:$A$122,0)),"")</f>
        <v/>
      </c>
    </row>
    <row r="223" spans="3:3" x14ac:dyDescent="0.25">
      <c r="C223" t="str">
        <f>IFERROR(INDEX(Gruppi_Atleti!$B$2:$B$122,MATCH(B223,Gruppi_Atleti!$A$2:$A$122,0)),"")</f>
        <v/>
      </c>
    </row>
    <row r="224" spans="3:3" x14ac:dyDescent="0.25">
      <c r="C224" t="str">
        <f>IFERROR(INDEX(Gruppi_Atleti!$B$2:$B$122,MATCH(B224,Gruppi_Atleti!$A$2:$A$122,0)),"")</f>
        <v/>
      </c>
    </row>
    <row r="225" spans="3:3" x14ac:dyDescent="0.25">
      <c r="C225" t="str">
        <f>IFERROR(INDEX(Gruppi_Atleti!$B$2:$B$122,MATCH(B225,Gruppi_Atleti!$A$2:$A$122,0)),"")</f>
        <v/>
      </c>
    </row>
    <row r="226" spans="3:3" x14ac:dyDescent="0.25">
      <c r="C226" t="str">
        <f>IFERROR(INDEX(Gruppi_Atleti!$B$2:$B$122,MATCH(B226,Gruppi_Atleti!$A$2:$A$122,0)),"")</f>
        <v/>
      </c>
    </row>
    <row r="227" spans="3:3" x14ac:dyDescent="0.25">
      <c r="C227" t="str">
        <f>IFERROR(INDEX(Gruppi_Atleti!$B$2:$B$122,MATCH(B227,Gruppi_Atleti!$A$2:$A$122,0)),"")</f>
        <v/>
      </c>
    </row>
    <row r="228" spans="3:3" x14ac:dyDescent="0.25">
      <c r="C228" t="str">
        <f>IFERROR(INDEX(Gruppi_Atleti!$B$2:$B$122,MATCH(B228,Gruppi_Atleti!$A$2:$A$122,0)),"")</f>
        <v/>
      </c>
    </row>
    <row r="229" spans="3:3" x14ac:dyDescent="0.25">
      <c r="C229" t="str">
        <f>IFERROR(INDEX(Gruppi_Atleti!$B$2:$B$122,MATCH(B229,Gruppi_Atleti!$A$2:$A$122,0)),"")</f>
        <v/>
      </c>
    </row>
    <row r="230" spans="3:3" x14ac:dyDescent="0.25">
      <c r="C230" t="str">
        <f>IFERROR(INDEX(Gruppi_Atleti!$B$2:$B$122,MATCH(B230,Gruppi_Atleti!$A$2:$A$122,0)),"")</f>
        <v/>
      </c>
    </row>
    <row r="231" spans="3:3" x14ac:dyDescent="0.25">
      <c r="C231" t="str">
        <f>IFERROR(INDEX(Gruppi_Atleti!$B$2:$B$122,MATCH(B231,Gruppi_Atleti!$A$2:$A$122,0)),"")</f>
        <v/>
      </c>
    </row>
    <row r="232" spans="3:3" x14ac:dyDescent="0.25">
      <c r="C232" t="str">
        <f>IFERROR(INDEX(Gruppi_Atleti!$B$2:$B$122,MATCH(B232,Gruppi_Atleti!$A$2:$A$122,0)),"")</f>
        <v/>
      </c>
    </row>
    <row r="233" spans="3:3" x14ac:dyDescent="0.25">
      <c r="C233" t="str">
        <f>IFERROR(INDEX(Gruppi_Atleti!$B$2:$B$122,MATCH(B233,Gruppi_Atleti!$A$2:$A$122,0)),"")</f>
        <v/>
      </c>
    </row>
    <row r="234" spans="3:3" x14ac:dyDescent="0.25">
      <c r="C234" t="str">
        <f>IFERROR(INDEX(Gruppi_Atleti!$B$2:$B$122,MATCH(B234,Gruppi_Atleti!$A$2:$A$122,0)),"")</f>
        <v/>
      </c>
    </row>
    <row r="235" spans="3:3" x14ac:dyDescent="0.25">
      <c r="C235" t="str">
        <f>IFERROR(INDEX(Gruppi_Atleti!$B$2:$B$122,MATCH(B235,Gruppi_Atleti!$A$2:$A$122,0)),"")</f>
        <v/>
      </c>
    </row>
    <row r="236" spans="3:3" x14ac:dyDescent="0.25">
      <c r="C236" t="str">
        <f>IFERROR(INDEX(Gruppi_Atleti!$B$2:$B$122,MATCH(B236,Gruppi_Atleti!$A$2:$A$122,0)),"")</f>
        <v/>
      </c>
    </row>
    <row r="237" spans="3:3" x14ac:dyDescent="0.25">
      <c r="C237" t="str">
        <f>IFERROR(INDEX(Gruppi_Atleti!$B$2:$B$122,MATCH(B237,Gruppi_Atleti!$A$2:$A$122,0)),"")</f>
        <v/>
      </c>
    </row>
    <row r="238" spans="3:3" x14ac:dyDescent="0.25">
      <c r="C238" t="str">
        <f>IFERROR(INDEX(Gruppi_Atleti!$B$2:$B$122,MATCH(B238,Gruppi_Atleti!$A$2:$A$122,0)),"")</f>
        <v/>
      </c>
    </row>
    <row r="239" spans="3:3" x14ac:dyDescent="0.25">
      <c r="C239" t="str">
        <f>IFERROR(INDEX(Gruppi_Atleti!$B$2:$B$122,MATCH(B239,Gruppi_Atleti!$A$2:$A$122,0)),"")</f>
        <v/>
      </c>
    </row>
    <row r="240" spans="3:3" x14ac:dyDescent="0.25">
      <c r="C240" t="str">
        <f>IFERROR(INDEX(Gruppi_Atleti!$B$2:$B$122,MATCH(B240,Gruppi_Atleti!$A$2:$A$122,0)),"")</f>
        <v/>
      </c>
    </row>
    <row r="241" spans="3:3" x14ac:dyDescent="0.25">
      <c r="C241" t="str">
        <f>IFERROR(INDEX(Gruppi_Atleti!$B$2:$B$122,MATCH(B241,Gruppi_Atleti!$A$2:$A$122,0)),"")</f>
        <v/>
      </c>
    </row>
    <row r="242" spans="3:3" x14ac:dyDescent="0.25">
      <c r="C242" t="str">
        <f>IFERROR(INDEX(Gruppi_Atleti!$B$2:$B$122,MATCH(B242,Gruppi_Atleti!$A$2:$A$122,0)),"")</f>
        <v/>
      </c>
    </row>
    <row r="243" spans="3:3" x14ac:dyDescent="0.25">
      <c r="C243" t="str">
        <f>IFERROR(INDEX(Gruppi_Atleti!$B$2:$B$122,MATCH(B243,Gruppi_Atleti!$A$2:$A$122,0)),"")</f>
        <v/>
      </c>
    </row>
    <row r="244" spans="3:3" x14ac:dyDescent="0.25">
      <c r="C244" t="str">
        <f>IFERROR(INDEX(Gruppi_Atleti!$B$2:$B$122,MATCH(B244,Gruppi_Atleti!$A$2:$A$122,0)),"")</f>
        <v/>
      </c>
    </row>
    <row r="245" spans="3:3" x14ac:dyDescent="0.25">
      <c r="C245" t="str">
        <f>IFERROR(INDEX(Gruppi_Atleti!$B$2:$B$122,MATCH(B245,Gruppi_Atleti!$A$2:$A$122,0)),"")</f>
        <v/>
      </c>
    </row>
    <row r="246" spans="3:3" x14ac:dyDescent="0.25">
      <c r="C246" t="str">
        <f>IFERROR(INDEX(Gruppi_Atleti!$B$2:$B$122,MATCH(B246,Gruppi_Atleti!$A$2:$A$122,0)),"")</f>
        <v/>
      </c>
    </row>
    <row r="247" spans="3:3" x14ac:dyDescent="0.25">
      <c r="C247" t="str">
        <f>IFERROR(INDEX(Gruppi_Atleti!$B$2:$B$122,MATCH(B247,Gruppi_Atleti!$A$2:$A$122,0)),"")</f>
        <v/>
      </c>
    </row>
    <row r="248" spans="3:3" x14ac:dyDescent="0.25">
      <c r="C248" t="str">
        <f>IFERROR(INDEX(Gruppi_Atleti!$B$2:$B$122,MATCH(B248,Gruppi_Atleti!$A$2:$A$122,0)),"")</f>
        <v/>
      </c>
    </row>
    <row r="249" spans="3:3" x14ac:dyDescent="0.25">
      <c r="C249" t="str">
        <f>IFERROR(INDEX(Gruppi_Atleti!$B$2:$B$122,MATCH(B249,Gruppi_Atleti!$A$2:$A$122,0)),"")</f>
        <v/>
      </c>
    </row>
    <row r="250" spans="3:3" x14ac:dyDescent="0.25">
      <c r="C250" t="str">
        <f>IFERROR(INDEX(Gruppi_Atleti!$B$2:$B$122,MATCH(B250,Gruppi_Atleti!$A$2:$A$122,0)),"")</f>
        <v/>
      </c>
    </row>
    <row r="251" spans="3:3" x14ac:dyDescent="0.25">
      <c r="C251" t="str">
        <f>IFERROR(INDEX(Gruppi_Atleti!$B$2:$B$122,MATCH(B251,Gruppi_Atleti!$A$2:$A$122,0)),"")</f>
        <v/>
      </c>
    </row>
    <row r="252" spans="3:3" x14ac:dyDescent="0.25">
      <c r="C252" t="str">
        <f>IFERROR(INDEX(Gruppi_Atleti!$B$2:$B$122,MATCH(B252,Gruppi_Atleti!$A$2:$A$122,0)),"")</f>
        <v/>
      </c>
    </row>
    <row r="253" spans="3:3" x14ac:dyDescent="0.25">
      <c r="C253" t="str">
        <f>IFERROR(INDEX(Gruppi_Atleti!$B$2:$B$122,MATCH(B253,Gruppi_Atleti!$A$2:$A$122,0)),"")</f>
        <v/>
      </c>
    </row>
    <row r="254" spans="3:3" x14ac:dyDescent="0.25">
      <c r="C254" t="str">
        <f>IFERROR(INDEX(Gruppi_Atleti!$B$2:$B$122,MATCH(B254,Gruppi_Atleti!$A$2:$A$122,0)),"")</f>
        <v/>
      </c>
    </row>
    <row r="255" spans="3:3" x14ac:dyDescent="0.25">
      <c r="C255" t="str">
        <f>IFERROR(INDEX(Gruppi_Atleti!$B$2:$B$122,MATCH(B255,Gruppi_Atleti!$A$2:$A$122,0)),"")</f>
        <v/>
      </c>
    </row>
    <row r="256" spans="3:3" x14ac:dyDescent="0.25">
      <c r="C256" t="str">
        <f>IFERROR(INDEX(Gruppi_Atleti!$B$2:$B$122,MATCH(B256,Gruppi_Atleti!$A$2:$A$122,0)),"")</f>
        <v/>
      </c>
    </row>
    <row r="257" spans="3:3" x14ac:dyDescent="0.25">
      <c r="C257" t="str">
        <f>IFERROR(INDEX(Gruppi_Atleti!$B$2:$B$122,MATCH(B257,Gruppi_Atleti!$A$2:$A$122,0)),"")</f>
        <v/>
      </c>
    </row>
    <row r="258" spans="3:3" x14ac:dyDescent="0.25">
      <c r="C258" t="str">
        <f>IFERROR(INDEX(Gruppi_Atleti!$B$2:$B$122,MATCH(B258,Gruppi_Atleti!$A$2:$A$122,0)),"")</f>
        <v/>
      </c>
    </row>
    <row r="259" spans="3:3" x14ac:dyDescent="0.25">
      <c r="C259" t="str">
        <f>IFERROR(INDEX(Gruppi_Atleti!$B$2:$B$122,MATCH(B259,Gruppi_Atleti!$A$2:$A$122,0)),"")</f>
        <v/>
      </c>
    </row>
    <row r="260" spans="3:3" x14ac:dyDescent="0.25">
      <c r="C260" t="str">
        <f>IFERROR(INDEX(Gruppi_Atleti!$B$2:$B$122,MATCH(B260,Gruppi_Atleti!$A$2:$A$122,0)),"")</f>
        <v/>
      </c>
    </row>
    <row r="261" spans="3:3" x14ac:dyDescent="0.25">
      <c r="C261" t="str">
        <f>IFERROR(INDEX(Gruppi_Atleti!$B$2:$B$122,MATCH(B261,Gruppi_Atleti!$A$2:$A$122,0)),"")</f>
        <v/>
      </c>
    </row>
    <row r="262" spans="3:3" x14ac:dyDescent="0.25">
      <c r="C262" t="str">
        <f>IFERROR(INDEX(Gruppi_Atleti!$B$2:$B$122,MATCH(B262,Gruppi_Atleti!$A$2:$A$122,0)),"")</f>
        <v/>
      </c>
    </row>
    <row r="263" spans="3:3" x14ac:dyDescent="0.25">
      <c r="C263" t="str">
        <f>IFERROR(INDEX(Gruppi_Atleti!$B$2:$B$122,MATCH(B263,Gruppi_Atleti!$A$2:$A$122,0)),"")</f>
        <v/>
      </c>
    </row>
    <row r="264" spans="3:3" x14ac:dyDescent="0.25">
      <c r="C264" t="str">
        <f>IFERROR(INDEX(Gruppi_Atleti!$B$2:$B$122,MATCH(B264,Gruppi_Atleti!$A$2:$A$122,0)),"")</f>
        <v/>
      </c>
    </row>
    <row r="265" spans="3:3" x14ac:dyDescent="0.25">
      <c r="C265" t="str">
        <f>IFERROR(INDEX(Gruppi_Atleti!$B$2:$B$122,MATCH(B265,Gruppi_Atleti!$A$2:$A$122,0)),"")</f>
        <v/>
      </c>
    </row>
    <row r="266" spans="3:3" x14ac:dyDescent="0.25">
      <c r="C266" t="str">
        <f>IFERROR(INDEX(Gruppi_Atleti!$B$2:$B$122,MATCH(B266,Gruppi_Atleti!$A$2:$A$122,0)),"")</f>
        <v/>
      </c>
    </row>
    <row r="267" spans="3:3" x14ac:dyDescent="0.25">
      <c r="C267" t="str">
        <f>IFERROR(INDEX(Gruppi_Atleti!$B$2:$B$122,MATCH(B267,Gruppi_Atleti!$A$2:$A$122,0)),"")</f>
        <v/>
      </c>
    </row>
    <row r="268" spans="3:3" x14ac:dyDescent="0.25">
      <c r="C268" t="str">
        <f>IFERROR(INDEX(Gruppi_Atleti!$B$2:$B$122,MATCH(B268,Gruppi_Atleti!$A$2:$A$122,0)),"")</f>
        <v/>
      </c>
    </row>
    <row r="269" spans="3:3" x14ac:dyDescent="0.25">
      <c r="C269" t="str">
        <f>IFERROR(INDEX(Gruppi_Atleti!$B$2:$B$122,MATCH(B269,Gruppi_Atleti!$A$2:$A$122,0)),"")</f>
        <v/>
      </c>
    </row>
    <row r="270" spans="3:3" x14ac:dyDescent="0.25">
      <c r="C270" t="str">
        <f>IFERROR(INDEX(Gruppi_Atleti!$B$2:$B$122,MATCH(B270,Gruppi_Atleti!$A$2:$A$122,0)),"")</f>
        <v/>
      </c>
    </row>
    <row r="271" spans="3:3" x14ac:dyDescent="0.25">
      <c r="C271" t="str">
        <f>IFERROR(INDEX(Gruppi_Atleti!$B$2:$B$122,MATCH(B271,Gruppi_Atleti!$A$2:$A$122,0)),"")</f>
        <v/>
      </c>
    </row>
    <row r="272" spans="3:3" x14ac:dyDescent="0.25">
      <c r="C272" t="str">
        <f>IFERROR(INDEX(Gruppi_Atleti!$B$2:$B$122,MATCH(B272,Gruppi_Atleti!$A$2:$A$122,0)),"")</f>
        <v/>
      </c>
    </row>
    <row r="273" spans="3:3" x14ac:dyDescent="0.25">
      <c r="C273" t="str">
        <f>IFERROR(INDEX(Gruppi_Atleti!$B$2:$B$122,MATCH(B273,Gruppi_Atleti!$A$2:$A$122,0)),"")</f>
        <v/>
      </c>
    </row>
    <row r="274" spans="3:3" x14ac:dyDescent="0.25">
      <c r="C274" t="str">
        <f>IFERROR(INDEX(Gruppi_Atleti!$B$2:$B$122,MATCH(B274,Gruppi_Atleti!$A$2:$A$122,0)),"")</f>
        <v/>
      </c>
    </row>
    <row r="275" spans="3:3" x14ac:dyDescent="0.25">
      <c r="C275" t="str">
        <f>IFERROR(INDEX(Gruppi_Atleti!$B$2:$B$122,MATCH(B275,Gruppi_Atleti!$A$2:$A$122,0)),"")</f>
        <v/>
      </c>
    </row>
    <row r="276" spans="3:3" x14ac:dyDescent="0.25">
      <c r="C276" t="str">
        <f>IFERROR(INDEX(Gruppi_Atleti!$B$2:$B$122,MATCH(B276,Gruppi_Atleti!$A$2:$A$122,0)),"")</f>
        <v/>
      </c>
    </row>
    <row r="277" spans="3:3" x14ac:dyDescent="0.25">
      <c r="C277" t="str">
        <f>IFERROR(INDEX(Gruppi_Atleti!$B$2:$B$122,MATCH(B277,Gruppi_Atleti!$A$2:$A$122,0)),"")</f>
        <v/>
      </c>
    </row>
    <row r="278" spans="3:3" x14ac:dyDescent="0.25">
      <c r="C278" t="str">
        <f>IFERROR(INDEX(Gruppi_Atleti!$B$2:$B$122,MATCH(B278,Gruppi_Atleti!$A$2:$A$122,0)),"")</f>
        <v/>
      </c>
    </row>
    <row r="279" spans="3:3" x14ac:dyDescent="0.25">
      <c r="C279" t="str">
        <f>IFERROR(INDEX(Gruppi_Atleti!$B$2:$B$122,MATCH(B279,Gruppi_Atleti!$A$2:$A$122,0)),"")</f>
        <v/>
      </c>
    </row>
    <row r="280" spans="3:3" x14ac:dyDescent="0.25">
      <c r="C280" t="str">
        <f>IFERROR(INDEX(Gruppi_Atleti!$B$2:$B$122,MATCH(B280,Gruppi_Atleti!$A$2:$A$122,0)),"")</f>
        <v/>
      </c>
    </row>
    <row r="281" spans="3:3" x14ac:dyDescent="0.25">
      <c r="C281" t="str">
        <f>IFERROR(INDEX(Gruppi_Atleti!$B$2:$B$122,MATCH(B281,Gruppi_Atleti!$A$2:$A$122,0)),"")</f>
        <v/>
      </c>
    </row>
    <row r="282" spans="3:3" x14ac:dyDescent="0.25">
      <c r="C282" t="str">
        <f>IFERROR(INDEX(Gruppi_Atleti!$B$2:$B$122,MATCH(B282,Gruppi_Atleti!$A$2:$A$122,0)),"")</f>
        <v/>
      </c>
    </row>
    <row r="283" spans="3:3" x14ac:dyDescent="0.25">
      <c r="C283" t="str">
        <f>IFERROR(INDEX(Gruppi_Atleti!$B$2:$B$122,MATCH(B283,Gruppi_Atleti!$A$2:$A$122,0)),"")</f>
        <v/>
      </c>
    </row>
    <row r="284" spans="3:3" x14ac:dyDescent="0.25">
      <c r="C284" t="str">
        <f>IFERROR(INDEX(Gruppi_Atleti!$B$2:$B$122,MATCH(B284,Gruppi_Atleti!$A$2:$A$122,0)),"")</f>
        <v/>
      </c>
    </row>
    <row r="285" spans="3:3" x14ac:dyDescent="0.25">
      <c r="C285" t="str">
        <f>IFERROR(INDEX(Gruppi_Atleti!$B$2:$B$122,MATCH(B285,Gruppi_Atleti!$A$2:$A$122,0)),"")</f>
        <v/>
      </c>
    </row>
    <row r="286" spans="3:3" x14ac:dyDescent="0.25">
      <c r="C286" t="str">
        <f>IFERROR(INDEX(Gruppi_Atleti!$B$2:$B$122,MATCH(B286,Gruppi_Atleti!$A$2:$A$122,0)),"")</f>
        <v/>
      </c>
    </row>
    <row r="287" spans="3:3" x14ac:dyDescent="0.25">
      <c r="C287" t="str">
        <f>IFERROR(INDEX(Gruppi_Atleti!$B$2:$B$122,MATCH(B287,Gruppi_Atleti!$A$2:$A$122,0)),"")</f>
        <v/>
      </c>
    </row>
    <row r="288" spans="3:3" x14ac:dyDescent="0.25">
      <c r="C288" t="str">
        <f>IFERROR(INDEX(Gruppi_Atleti!$B$2:$B$122,MATCH(B288,Gruppi_Atleti!$A$2:$A$122,0)),"")</f>
        <v/>
      </c>
    </row>
    <row r="289" spans="3:3" x14ac:dyDescent="0.25">
      <c r="C289" t="str">
        <f>IFERROR(INDEX(Gruppi_Atleti!$B$2:$B$122,MATCH(B289,Gruppi_Atleti!$A$2:$A$122,0)),"")</f>
        <v/>
      </c>
    </row>
    <row r="290" spans="3:3" x14ac:dyDescent="0.25">
      <c r="C290" t="str">
        <f>IFERROR(INDEX(Gruppi_Atleti!$B$2:$B$122,MATCH(B290,Gruppi_Atleti!$A$2:$A$122,0)),"")</f>
        <v/>
      </c>
    </row>
    <row r="291" spans="3:3" x14ac:dyDescent="0.25">
      <c r="C291" t="str">
        <f>IFERROR(INDEX(Gruppi_Atleti!$B$2:$B$122,MATCH(B291,Gruppi_Atleti!$A$2:$A$122,0)),"")</f>
        <v/>
      </c>
    </row>
    <row r="292" spans="3:3" x14ac:dyDescent="0.25">
      <c r="C292" t="str">
        <f>IFERROR(INDEX(Gruppi_Atleti!$B$2:$B$122,MATCH(B292,Gruppi_Atleti!$A$2:$A$122,0)),"")</f>
        <v/>
      </c>
    </row>
    <row r="293" spans="3:3" x14ac:dyDescent="0.25">
      <c r="C293" t="str">
        <f>IFERROR(INDEX(Gruppi_Atleti!$B$2:$B$122,MATCH(B293,Gruppi_Atleti!$A$2:$A$122,0)),"")</f>
        <v/>
      </c>
    </row>
    <row r="294" spans="3:3" x14ac:dyDescent="0.25">
      <c r="C294" t="str">
        <f>IFERROR(INDEX(Gruppi_Atleti!$B$2:$B$122,MATCH(B294,Gruppi_Atleti!$A$2:$A$122,0)),"")</f>
        <v/>
      </c>
    </row>
    <row r="295" spans="3:3" x14ac:dyDescent="0.25">
      <c r="C295" t="str">
        <f>IFERROR(INDEX(Gruppi_Atleti!$B$2:$B$122,MATCH(B295,Gruppi_Atleti!$A$2:$A$122,0)),"")</f>
        <v/>
      </c>
    </row>
    <row r="296" spans="3:3" x14ac:dyDescent="0.25">
      <c r="C296" t="str">
        <f>IFERROR(INDEX(Gruppi_Atleti!$B$2:$B$122,MATCH(B296,Gruppi_Atleti!$A$2:$A$122,0)),"")</f>
        <v/>
      </c>
    </row>
    <row r="297" spans="3:3" x14ac:dyDescent="0.25">
      <c r="C297" t="str">
        <f>IFERROR(INDEX(Gruppi_Atleti!$B$2:$B$122,MATCH(B297,Gruppi_Atleti!$A$2:$A$122,0)),"")</f>
        <v/>
      </c>
    </row>
    <row r="298" spans="3:3" x14ac:dyDescent="0.25">
      <c r="C298" t="str">
        <f>IFERROR(INDEX(Gruppi_Atleti!$B$2:$B$122,MATCH(B298,Gruppi_Atleti!$A$2:$A$122,0)),"")</f>
        <v/>
      </c>
    </row>
    <row r="299" spans="3:3" x14ac:dyDescent="0.25">
      <c r="C299" t="str">
        <f>IFERROR(INDEX(Gruppi_Atleti!$B$2:$B$122,MATCH(B299,Gruppi_Atleti!$A$2:$A$122,0)),"")</f>
        <v/>
      </c>
    </row>
    <row r="300" spans="3:3" x14ac:dyDescent="0.25">
      <c r="C300" t="str">
        <f>IFERROR(INDEX(Gruppi_Atleti!$B$2:$B$122,MATCH(B300,Gruppi_Atleti!$A$2:$A$122,0)),"")</f>
        <v/>
      </c>
    </row>
    <row r="301" spans="3:3" x14ac:dyDescent="0.25">
      <c r="C301" t="str">
        <f>IFERROR(INDEX(Gruppi_Atleti!$B$2:$B$122,MATCH(B301,Gruppi_Atleti!$A$2:$A$122,0)),"")</f>
        <v/>
      </c>
    </row>
    <row r="302" spans="3:3" x14ac:dyDescent="0.25">
      <c r="C302" t="str">
        <f>IFERROR(INDEX(Gruppi_Atleti!$B$2:$B$122,MATCH(B302,Gruppi_Atleti!$A$2:$A$122,0)),"")</f>
        <v/>
      </c>
    </row>
    <row r="303" spans="3:3" x14ac:dyDescent="0.25">
      <c r="C303" t="str">
        <f>IFERROR(INDEX(Gruppi_Atleti!$B$2:$B$122,MATCH(B303,Gruppi_Atleti!$A$2:$A$122,0)),"")</f>
        <v/>
      </c>
    </row>
    <row r="304" spans="3:3" x14ac:dyDescent="0.25">
      <c r="C304" t="str">
        <f>IFERROR(INDEX(Gruppi_Atleti!$B$2:$B$122,MATCH(B304,Gruppi_Atleti!$A$2:$A$122,0)),"")</f>
        <v/>
      </c>
    </row>
    <row r="305" spans="3:3" x14ac:dyDescent="0.25">
      <c r="C305" t="str">
        <f>IFERROR(INDEX(Gruppi_Atleti!$B$2:$B$122,MATCH(B305,Gruppi_Atleti!$A$2:$A$122,0)),"")</f>
        <v/>
      </c>
    </row>
    <row r="306" spans="3:3" x14ac:dyDescent="0.25">
      <c r="C306" t="str">
        <f>IFERROR(INDEX(Gruppi_Atleti!$B$2:$B$122,MATCH(B306,Gruppi_Atleti!$A$2:$A$122,0)),"")</f>
        <v/>
      </c>
    </row>
    <row r="307" spans="3:3" x14ac:dyDescent="0.25">
      <c r="C307" t="str">
        <f>IFERROR(INDEX(Gruppi_Atleti!$B$2:$B$122,MATCH(B307,Gruppi_Atleti!$A$2:$A$122,0)),"")</f>
        <v/>
      </c>
    </row>
    <row r="308" spans="3:3" x14ac:dyDescent="0.25">
      <c r="C308" t="str">
        <f>IFERROR(INDEX(Gruppi_Atleti!$B$2:$B$122,MATCH(B308,Gruppi_Atleti!$A$2:$A$122,0)),"")</f>
        <v/>
      </c>
    </row>
    <row r="309" spans="3:3" x14ac:dyDescent="0.25">
      <c r="C309" t="str">
        <f>IFERROR(INDEX(Gruppi_Atleti!$B$2:$B$122,MATCH(B309,Gruppi_Atleti!$A$2:$A$122,0)),"")</f>
        <v/>
      </c>
    </row>
    <row r="310" spans="3:3" x14ac:dyDescent="0.25">
      <c r="C310" t="str">
        <f>IFERROR(INDEX(Gruppi_Atleti!$B$2:$B$122,MATCH(B310,Gruppi_Atleti!$A$2:$A$122,0)),"")</f>
        <v/>
      </c>
    </row>
    <row r="311" spans="3:3" x14ac:dyDescent="0.25">
      <c r="C311" t="str">
        <f>IFERROR(INDEX(Gruppi_Atleti!$B$2:$B$122,MATCH(B311,Gruppi_Atleti!$A$2:$A$122,0)),"")</f>
        <v/>
      </c>
    </row>
    <row r="312" spans="3:3" x14ac:dyDescent="0.25">
      <c r="C312" t="str">
        <f>IFERROR(INDEX(Gruppi_Atleti!$B$2:$B$122,MATCH(B312,Gruppi_Atleti!$A$2:$A$122,0)),"")</f>
        <v/>
      </c>
    </row>
    <row r="313" spans="3:3" x14ac:dyDescent="0.25">
      <c r="C313" t="str">
        <f>IFERROR(INDEX(Gruppi_Atleti!$B$2:$B$122,MATCH(B313,Gruppi_Atleti!$A$2:$A$122,0)),"")</f>
        <v/>
      </c>
    </row>
    <row r="314" spans="3:3" x14ac:dyDescent="0.25">
      <c r="C314" t="str">
        <f>IFERROR(INDEX(Gruppi_Atleti!$B$2:$B$122,MATCH(B314,Gruppi_Atleti!$A$2:$A$122,0)),"")</f>
        <v/>
      </c>
    </row>
    <row r="315" spans="3:3" x14ac:dyDescent="0.25">
      <c r="C315" t="str">
        <f>IFERROR(INDEX(Gruppi_Atleti!$B$2:$B$122,MATCH(B315,Gruppi_Atleti!$A$2:$A$122,0)),"")</f>
        <v/>
      </c>
    </row>
    <row r="316" spans="3:3" x14ac:dyDescent="0.25">
      <c r="C316" t="str">
        <f>IFERROR(INDEX(Gruppi_Atleti!$B$2:$B$122,MATCH(B316,Gruppi_Atleti!$A$2:$A$122,0)),"")</f>
        <v/>
      </c>
    </row>
    <row r="317" spans="3:3" x14ac:dyDescent="0.25">
      <c r="C317" t="str">
        <f>IFERROR(INDEX(Gruppi_Atleti!$B$2:$B$122,MATCH(B317,Gruppi_Atleti!$A$2:$A$122,0)),"")</f>
        <v/>
      </c>
    </row>
    <row r="318" spans="3:3" x14ac:dyDescent="0.25">
      <c r="C318" t="str">
        <f>IFERROR(INDEX(Gruppi_Atleti!$B$2:$B$122,MATCH(B318,Gruppi_Atleti!$A$2:$A$122,0)),"")</f>
        <v/>
      </c>
    </row>
    <row r="319" spans="3:3" x14ac:dyDescent="0.25">
      <c r="C319" t="str">
        <f>IFERROR(INDEX(Gruppi_Atleti!$B$2:$B$122,MATCH(B319,Gruppi_Atleti!$A$2:$A$122,0)),"")</f>
        <v/>
      </c>
    </row>
    <row r="320" spans="3:3" x14ac:dyDescent="0.25">
      <c r="C320" t="str">
        <f>IFERROR(INDEX(Gruppi_Atleti!$B$2:$B$122,MATCH(B320,Gruppi_Atleti!$A$2:$A$122,0)),"")</f>
        <v/>
      </c>
    </row>
    <row r="321" spans="3:3" x14ac:dyDescent="0.25">
      <c r="C321" t="str">
        <f>IFERROR(INDEX(Gruppi_Atleti!$B$2:$B$122,MATCH(B321,Gruppi_Atleti!$A$2:$A$122,0)),"")</f>
        <v/>
      </c>
    </row>
    <row r="322" spans="3:3" x14ac:dyDescent="0.25">
      <c r="C322" t="str">
        <f>IFERROR(INDEX(Gruppi_Atleti!$B$2:$B$122,MATCH(B322,Gruppi_Atleti!$A$2:$A$122,0)),"")</f>
        <v/>
      </c>
    </row>
    <row r="323" spans="3:3" x14ac:dyDescent="0.25">
      <c r="C323" t="str">
        <f>IFERROR(INDEX(Gruppi_Atleti!$B$2:$B$122,MATCH(B323,Gruppi_Atleti!$A$2:$A$122,0)),"")</f>
        <v/>
      </c>
    </row>
    <row r="324" spans="3:3" x14ac:dyDescent="0.25">
      <c r="C324" t="str">
        <f>IFERROR(INDEX(Gruppi_Atleti!$B$2:$B$122,MATCH(B324,Gruppi_Atleti!$A$2:$A$122,0)),"")</f>
        <v/>
      </c>
    </row>
    <row r="325" spans="3:3" x14ac:dyDescent="0.25">
      <c r="C325" t="str">
        <f>IFERROR(INDEX(Gruppi_Atleti!$B$2:$B$122,MATCH(B325,Gruppi_Atleti!$A$2:$A$122,0)),"")</f>
        <v/>
      </c>
    </row>
    <row r="326" spans="3:3" x14ac:dyDescent="0.25">
      <c r="C326" t="str">
        <f>IFERROR(INDEX(Gruppi_Atleti!$B$2:$B$122,MATCH(B326,Gruppi_Atleti!$A$2:$A$122,0)),"")</f>
        <v/>
      </c>
    </row>
    <row r="327" spans="3:3" x14ac:dyDescent="0.25">
      <c r="C327" t="str">
        <f>IFERROR(INDEX(Gruppi_Atleti!$B$2:$B$122,MATCH(B327,Gruppi_Atleti!$A$2:$A$122,0)),"")</f>
        <v/>
      </c>
    </row>
    <row r="328" spans="3:3" x14ac:dyDescent="0.25">
      <c r="C328" t="str">
        <f>IFERROR(INDEX(Gruppi_Atleti!$B$2:$B$122,MATCH(B328,Gruppi_Atleti!$A$2:$A$122,0)),"")</f>
        <v/>
      </c>
    </row>
    <row r="329" spans="3:3" x14ac:dyDescent="0.25">
      <c r="C329" t="str">
        <f>IFERROR(INDEX(Gruppi_Atleti!$B$2:$B$122,MATCH(B329,Gruppi_Atleti!$A$2:$A$122,0)),"")</f>
        <v/>
      </c>
    </row>
    <row r="330" spans="3:3" x14ac:dyDescent="0.25">
      <c r="C330" t="str">
        <f>IFERROR(INDEX(Gruppi_Atleti!$B$2:$B$122,MATCH(B330,Gruppi_Atleti!$A$2:$A$122,0)),"")</f>
        <v/>
      </c>
    </row>
    <row r="331" spans="3:3" x14ac:dyDescent="0.25">
      <c r="C331" t="str">
        <f>IFERROR(INDEX(Gruppi_Atleti!$B$2:$B$122,MATCH(B331,Gruppi_Atleti!$A$2:$A$122,0)),"")</f>
        <v/>
      </c>
    </row>
    <row r="332" spans="3:3" x14ac:dyDescent="0.25">
      <c r="C332" t="str">
        <f>IFERROR(INDEX(Gruppi_Atleti!$B$2:$B$122,MATCH(B332,Gruppi_Atleti!$A$2:$A$122,0)),"")</f>
        <v/>
      </c>
    </row>
    <row r="333" spans="3:3" x14ac:dyDescent="0.25">
      <c r="C333" t="str">
        <f>IFERROR(INDEX(Gruppi_Atleti!$B$2:$B$122,MATCH(B333,Gruppi_Atleti!$A$2:$A$122,0)),"")</f>
        <v/>
      </c>
    </row>
    <row r="334" spans="3:3" x14ac:dyDescent="0.25">
      <c r="C334" t="str">
        <f>IFERROR(INDEX(Gruppi_Atleti!$B$2:$B$122,MATCH(B334,Gruppi_Atleti!$A$2:$A$122,0)),"")</f>
        <v/>
      </c>
    </row>
    <row r="335" spans="3:3" x14ac:dyDescent="0.25">
      <c r="C335" t="str">
        <f>IFERROR(INDEX(Gruppi_Atleti!$B$2:$B$122,MATCH(B335,Gruppi_Atleti!$A$2:$A$122,0)),"")</f>
        <v/>
      </c>
    </row>
    <row r="336" spans="3:3" x14ac:dyDescent="0.25">
      <c r="C336" t="str">
        <f>IFERROR(INDEX(Gruppi_Atleti!$B$2:$B$122,MATCH(B336,Gruppi_Atleti!$A$2:$A$122,0)),"")</f>
        <v/>
      </c>
    </row>
    <row r="337" spans="3:3" x14ac:dyDescent="0.25">
      <c r="C337" t="str">
        <f>IFERROR(INDEX(Gruppi_Atleti!$B$2:$B$122,MATCH(B337,Gruppi_Atleti!$A$2:$A$122,0)),"")</f>
        <v/>
      </c>
    </row>
    <row r="338" spans="3:3" x14ac:dyDescent="0.25">
      <c r="C338" t="str">
        <f>IFERROR(INDEX(Gruppi_Atleti!$B$2:$B$122,MATCH(B338,Gruppi_Atleti!$A$2:$A$122,0)),"")</f>
        <v/>
      </c>
    </row>
    <row r="339" spans="3:3" x14ac:dyDescent="0.25">
      <c r="C339" t="str">
        <f>IFERROR(INDEX(Gruppi_Atleti!$B$2:$B$122,MATCH(B339,Gruppi_Atleti!$A$2:$A$122,0)),"")</f>
        <v/>
      </c>
    </row>
    <row r="340" spans="3:3" x14ac:dyDescent="0.25">
      <c r="C340" t="str">
        <f>IFERROR(INDEX(Gruppi_Atleti!$B$2:$B$122,MATCH(B340,Gruppi_Atleti!$A$2:$A$122,0)),"")</f>
        <v/>
      </c>
    </row>
    <row r="341" spans="3:3" x14ac:dyDescent="0.25">
      <c r="C341" t="str">
        <f>IFERROR(INDEX(Gruppi_Atleti!$B$2:$B$122,MATCH(B341,Gruppi_Atleti!$A$2:$A$122,0)),"")</f>
        <v/>
      </c>
    </row>
    <row r="342" spans="3:3" x14ac:dyDescent="0.25">
      <c r="C342" t="str">
        <f>IFERROR(INDEX(Gruppi_Atleti!$B$2:$B$122,MATCH(B342,Gruppi_Atleti!$A$2:$A$122,0)),"")</f>
        <v/>
      </c>
    </row>
    <row r="343" spans="3:3" x14ac:dyDescent="0.25">
      <c r="C343" t="str">
        <f>IFERROR(INDEX(Gruppi_Atleti!$B$2:$B$122,MATCH(B343,Gruppi_Atleti!$A$2:$A$122,0)),"")</f>
        <v/>
      </c>
    </row>
    <row r="344" spans="3:3" x14ac:dyDescent="0.25">
      <c r="C344" t="str">
        <f>IFERROR(INDEX(Gruppi_Atleti!$B$2:$B$122,MATCH(B344,Gruppi_Atleti!$A$2:$A$122,0)),"")</f>
        <v/>
      </c>
    </row>
    <row r="345" spans="3:3" x14ac:dyDescent="0.25">
      <c r="C345" t="str">
        <f>IFERROR(INDEX(Gruppi_Atleti!$B$2:$B$122,MATCH(B345,Gruppi_Atleti!$A$2:$A$122,0)),"")</f>
        <v/>
      </c>
    </row>
    <row r="346" spans="3:3" x14ac:dyDescent="0.25">
      <c r="C346" t="str">
        <f>IFERROR(INDEX(Gruppi_Atleti!$B$2:$B$122,MATCH(B346,Gruppi_Atleti!$A$2:$A$122,0)),"")</f>
        <v/>
      </c>
    </row>
    <row r="347" spans="3:3" x14ac:dyDescent="0.25">
      <c r="C347" t="str">
        <f>IFERROR(INDEX(Gruppi_Atleti!$B$2:$B$122,MATCH(B347,Gruppi_Atleti!$A$2:$A$122,0)),"")</f>
        <v/>
      </c>
    </row>
    <row r="348" spans="3:3" x14ac:dyDescent="0.25">
      <c r="C348" t="str">
        <f>IFERROR(INDEX(Gruppi_Atleti!$B$2:$B$122,MATCH(B348,Gruppi_Atleti!$A$2:$A$122,0)),"")</f>
        <v/>
      </c>
    </row>
    <row r="349" spans="3:3" x14ac:dyDescent="0.25">
      <c r="C349" t="str">
        <f>IFERROR(INDEX(Gruppi_Atleti!$B$2:$B$122,MATCH(B349,Gruppi_Atleti!$A$2:$A$122,0)),"")</f>
        <v/>
      </c>
    </row>
    <row r="350" spans="3:3" x14ac:dyDescent="0.25">
      <c r="C350" t="str">
        <f>IFERROR(INDEX(Gruppi_Atleti!$B$2:$B$122,MATCH(B350,Gruppi_Atleti!$A$2:$A$122,0)),"")</f>
        <v/>
      </c>
    </row>
    <row r="351" spans="3:3" x14ac:dyDescent="0.25">
      <c r="C351" t="str">
        <f>IFERROR(INDEX(Gruppi_Atleti!$B$2:$B$122,MATCH(B351,Gruppi_Atleti!$A$2:$A$122,0)),"")</f>
        <v/>
      </c>
    </row>
    <row r="352" spans="3:3" x14ac:dyDescent="0.25">
      <c r="C352" t="str">
        <f>IFERROR(INDEX(Gruppi_Atleti!$B$2:$B$122,MATCH(B352,Gruppi_Atleti!$A$2:$A$122,0)),"")</f>
        <v/>
      </c>
    </row>
    <row r="353" spans="3:3" x14ac:dyDescent="0.25">
      <c r="C353" t="str">
        <f>IFERROR(INDEX(Gruppi_Atleti!$B$2:$B$122,MATCH(B353,Gruppi_Atleti!$A$2:$A$122,0)),"")</f>
        <v/>
      </c>
    </row>
    <row r="354" spans="3:3" x14ac:dyDescent="0.25">
      <c r="C354" t="str">
        <f>IFERROR(INDEX(Gruppi_Atleti!$B$2:$B$122,MATCH(B354,Gruppi_Atleti!$A$2:$A$122,0)),"")</f>
        <v/>
      </c>
    </row>
    <row r="355" spans="3:3" x14ac:dyDescent="0.25">
      <c r="C355" t="str">
        <f>IFERROR(INDEX(Gruppi_Atleti!$B$2:$B$122,MATCH(B355,Gruppi_Atleti!$A$2:$A$122,0)),"")</f>
        <v/>
      </c>
    </row>
    <row r="356" spans="3:3" x14ac:dyDescent="0.25">
      <c r="C356" t="str">
        <f>IFERROR(INDEX(Gruppi_Atleti!$B$2:$B$122,MATCH(B356,Gruppi_Atleti!$A$2:$A$122,0)),"")</f>
        <v/>
      </c>
    </row>
    <row r="357" spans="3:3" x14ac:dyDescent="0.25">
      <c r="C357" t="str">
        <f>IFERROR(INDEX(Gruppi_Atleti!$B$2:$B$122,MATCH(B357,Gruppi_Atleti!$A$2:$A$122,0)),"")</f>
        <v/>
      </c>
    </row>
    <row r="358" spans="3:3" x14ac:dyDescent="0.25">
      <c r="C358" t="str">
        <f>IFERROR(INDEX(Gruppi_Atleti!$B$2:$B$122,MATCH(B358,Gruppi_Atleti!$A$2:$A$122,0)),"")</f>
        <v/>
      </c>
    </row>
    <row r="359" spans="3:3" x14ac:dyDescent="0.25">
      <c r="C359" t="str">
        <f>IFERROR(INDEX(Gruppi_Atleti!$B$2:$B$122,MATCH(B359,Gruppi_Atleti!$A$2:$A$122,0)),"")</f>
        <v/>
      </c>
    </row>
    <row r="360" spans="3:3" x14ac:dyDescent="0.25">
      <c r="C360" t="str">
        <f>IFERROR(INDEX(Gruppi_Atleti!$B$2:$B$122,MATCH(B360,Gruppi_Atleti!$A$2:$A$122,0)),"")</f>
        <v/>
      </c>
    </row>
    <row r="361" spans="3:3" x14ac:dyDescent="0.25">
      <c r="C361" t="str">
        <f>IFERROR(INDEX(Gruppi_Atleti!$B$2:$B$122,MATCH(B361,Gruppi_Atleti!$A$2:$A$122,0)),"")</f>
        <v/>
      </c>
    </row>
    <row r="362" spans="3:3" x14ac:dyDescent="0.25">
      <c r="C362" t="str">
        <f>IFERROR(INDEX(Gruppi_Atleti!$B$2:$B$122,MATCH(B362,Gruppi_Atleti!$A$2:$A$122,0)),"")</f>
        <v/>
      </c>
    </row>
    <row r="363" spans="3:3" x14ac:dyDescent="0.25">
      <c r="C363" t="str">
        <f>IFERROR(INDEX(Gruppi_Atleti!$B$2:$B$122,MATCH(B363,Gruppi_Atleti!$A$2:$A$122,0)),"")</f>
        <v/>
      </c>
    </row>
    <row r="364" spans="3:3" x14ac:dyDescent="0.25">
      <c r="C364" t="str">
        <f>IFERROR(INDEX(Gruppi_Atleti!$B$2:$B$122,MATCH(B364,Gruppi_Atleti!$A$2:$A$122,0)),"")</f>
        <v/>
      </c>
    </row>
    <row r="365" spans="3:3" x14ac:dyDescent="0.25">
      <c r="C365" t="str">
        <f>IFERROR(INDEX(Gruppi_Atleti!$B$2:$B$122,MATCH(B365,Gruppi_Atleti!$A$2:$A$122,0)),"")</f>
        <v/>
      </c>
    </row>
    <row r="366" spans="3:3" x14ac:dyDescent="0.25">
      <c r="C366" t="str">
        <f>IFERROR(INDEX(Gruppi_Atleti!$B$2:$B$122,MATCH(B366,Gruppi_Atleti!$A$2:$A$122,0)),"")</f>
        <v/>
      </c>
    </row>
    <row r="367" spans="3:3" x14ac:dyDescent="0.25">
      <c r="C367" t="str">
        <f>IFERROR(INDEX(Gruppi_Atleti!$B$2:$B$122,MATCH(B367,Gruppi_Atleti!$A$2:$A$122,0)),"")</f>
        <v/>
      </c>
    </row>
    <row r="368" spans="3:3" x14ac:dyDescent="0.25">
      <c r="C368" t="str">
        <f>IFERROR(INDEX(Gruppi_Atleti!$B$2:$B$122,MATCH(B368,Gruppi_Atleti!$A$2:$A$122,0)),"")</f>
        <v/>
      </c>
    </row>
    <row r="369" spans="3:3" x14ac:dyDescent="0.25">
      <c r="C369" t="str">
        <f>IFERROR(INDEX(Gruppi_Atleti!$B$2:$B$122,MATCH(B369,Gruppi_Atleti!$A$2:$A$122,0)),"")</f>
        <v/>
      </c>
    </row>
    <row r="370" spans="3:3" x14ac:dyDescent="0.25">
      <c r="C370" t="str">
        <f>IFERROR(INDEX(Gruppi_Atleti!$B$2:$B$122,MATCH(B370,Gruppi_Atleti!$A$2:$A$122,0)),"")</f>
        <v/>
      </c>
    </row>
    <row r="371" spans="3:3" x14ac:dyDescent="0.25">
      <c r="C371" t="str">
        <f>IFERROR(INDEX(Gruppi_Atleti!$B$2:$B$122,MATCH(B371,Gruppi_Atleti!$A$2:$A$122,0)),"")</f>
        <v/>
      </c>
    </row>
    <row r="372" spans="3:3" x14ac:dyDescent="0.25">
      <c r="C372" t="str">
        <f>IFERROR(INDEX(Gruppi_Atleti!$B$2:$B$122,MATCH(B372,Gruppi_Atleti!$A$2:$A$122,0)),"")</f>
        <v/>
      </c>
    </row>
    <row r="373" spans="3:3" x14ac:dyDescent="0.25">
      <c r="C373" t="str">
        <f>IFERROR(INDEX(Gruppi_Atleti!$B$2:$B$122,MATCH(B373,Gruppi_Atleti!$A$2:$A$122,0)),"")</f>
        <v/>
      </c>
    </row>
    <row r="374" spans="3:3" x14ac:dyDescent="0.25">
      <c r="C374" t="str">
        <f>IFERROR(INDEX(Gruppi_Atleti!$B$2:$B$122,MATCH(B374,Gruppi_Atleti!$A$2:$A$122,0)),"")</f>
        <v/>
      </c>
    </row>
    <row r="375" spans="3:3" x14ac:dyDescent="0.25">
      <c r="C375" t="str">
        <f>IFERROR(INDEX(Gruppi_Atleti!$B$2:$B$122,MATCH(B375,Gruppi_Atleti!$A$2:$A$122,0)),"")</f>
        <v/>
      </c>
    </row>
    <row r="376" spans="3:3" x14ac:dyDescent="0.25">
      <c r="C376" t="str">
        <f>IFERROR(INDEX(Gruppi_Atleti!$B$2:$B$122,MATCH(B376,Gruppi_Atleti!$A$2:$A$122,0)),"")</f>
        <v/>
      </c>
    </row>
    <row r="377" spans="3:3" x14ac:dyDescent="0.25">
      <c r="C377" t="str">
        <f>IFERROR(INDEX(Gruppi_Atleti!$B$2:$B$122,MATCH(B377,Gruppi_Atleti!$A$2:$A$122,0)),"")</f>
        <v/>
      </c>
    </row>
    <row r="378" spans="3:3" x14ac:dyDescent="0.25">
      <c r="C378" t="str">
        <f>IFERROR(INDEX(Gruppi_Atleti!$B$2:$B$122,MATCH(B378,Gruppi_Atleti!$A$2:$A$122,0)),"")</f>
        <v/>
      </c>
    </row>
    <row r="379" spans="3:3" x14ac:dyDescent="0.25">
      <c r="C379" t="str">
        <f>IFERROR(INDEX(Gruppi_Atleti!$B$2:$B$122,MATCH(B379,Gruppi_Atleti!$A$2:$A$122,0)),"")</f>
        <v/>
      </c>
    </row>
    <row r="380" spans="3:3" x14ac:dyDescent="0.25">
      <c r="C380" t="str">
        <f>IFERROR(INDEX(Gruppi_Atleti!$B$2:$B$122,MATCH(B380,Gruppi_Atleti!$A$2:$A$122,0)),"")</f>
        <v/>
      </c>
    </row>
    <row r="381" spans="3:3" x14ac:dyDescent="0.25">
      <c r="C381" t="str">
        <f>IFERROR(INDEX(Gruppi_Atleti!$B$2:$B$122,MATCH(B381,Gruppi_Atleti!$A$2:$A$122,0)),"")</f>
        <v/>
      </c>
    </row>
    <row r="382" spans="3:3" x14ac:dyDescent="0.25">
      <c r="C382" t="str">
        <f>IFERROR(INDEX(Gruppi_Atleti!$B$2:$B$122,MATCH(B382,Gruppi_Atleti!$A$2:$A$122,0)),"")</f>
        <v/>
      </c>
    </row>
    <row r="383" spans="3:3" x14ac:dyDescent="0.25">
      <c r="C383" t="str">
        <f>IFERROR(INDEX(Gruppi_Atleti!$B$2:$B$122,MATCH(B383,Gruppi_Atleti!$A$2:$A$122,0)),"")</f>
        <v/>
      </c>
    </row>
    <row r="384" spans="3:3" x14ac:dyDescent="0.25">
      <c r="C384" t="str">
        <f>IFERROR(INDEX(Gruppi_Atleti!$B$2:$B$122,MATCH(B384,Gruppi_Atleti!$A$2:$A$122,0)),"")</f>
        <v/>
      </c>
    </row>
    <row r="385" spans="3:3" x14ac:dyDescent="0.25">
      <c r="C385" t="str">
        <f>IFERROR(INDEX(Gruppi_Atleti!$B$2:$B$122,MATCH(B385,Gruppi_Atleti!$A$2:$A$122,0)),"")</f>
        <v/>
      </c>
    </row>
    <row r="386" spans="3:3" x14ac:dyDescent="0.25">
      <c r="C386" t="str">
        <f>IFERROR(INDEX(Gruppi_Atleti!$B$2:$B$122,MATCH(B386,Gruppi_Atleti!$A$2:$A$122,0)),"")</f>
        <v/>
      </c>
    </row>
    <row r="387" spans="3:3" x14ac:dyDescent="0.25">
      <c r="C387" t="str">
        <f>IFERROR(INDEX(Gruppi_Atleti!$B$2:$B$122,MATCH(B387,Gruppi_Atleti!$A$2:$A$122,0)),"")</f>
        <v/>
      </c>
    </row>
    <row r="388" spans="3:3" x14ac:dyDescent="0.25">
      <c r="C388" t="str">
        <f>IFERROR(INDEX(Gruppi_Atleti!$B$2:$B$122,MATCH(B388,Gruppi_Atleti!$A$2:$A$122,0)),"")</f>
        <v/>
      </c>
    </row>
    <row r="389" spans="3:3" x14ac:dyDescent="0.25">
      <c r="C389" t="str">
        <f>IFERROR(INDEX(Gruppi_Atleti!$B$2:$B$122,MATCH(B389,Gruppi_Atleti!$A$2:$A$122,0)),"")</f>
        <v/>
      </c>
    </row>
    <row r="390" spans="3:3" x14ac:dyDescent="0.25">
      <c r="C390" t="str">
        <f>IFERROR(INDEX(Gruppi_Atleti!$B$2:$B$122,MATCH(B390,Gruppi_Atleti!$A$2:$A$122,0)),"")</f>
        <v/>
      </c>
    </row>
    <row r="391" spans="3:3" x14ac:dyDescent="0.25">
      <c r="C391" t="str">
        <f>IFERROR(INDEX(Gruppi_Atleti!$B$2:$B$122,MATCH(B391,Gruppi_Atleti!$A$2:$A$122,0)),"")</f>
        <v/>
      </c>
    </row>
    <row r="392" spans="3:3" x14ac:dyDescent="0.25">
      <c r="C392" t="str">
        <f>IFERROR(INDEX(Gruppi_Atleti!$B$2:$B$122,MATCH(B392,Gruppi_Atleti!$A$2:$A$122,0)),"")</f>
        <v/>
      </c>
    </row>
    <row r="393" spans="3:3" x14ac:dyDescent="0.25">
      <c r="C393" t="str">
        <f>IFERROR(INDEX(Gruppi_Atleti!$B$2:$B$122,MATCH(B393,Gruppi_Atleti!$A$2:$A$122,0)),"")</f>
        <v/>
      </c>
    </row>
    <row r="394" spans="3:3" x14ac:dyDescent="0.25">
      <c r="C394" t="str">
        <f>IFERROR(INDEX(Gruppi_Atleti!$B$2:$B$122,MATCH(B394,Gruppi_Atleti!$A$2:$A$122,0)),"")</f>
        <v/>
      </c>
    </row>
    <row r="395" spans="3:3" x14ac:dyDescent="0.25">
      <c r="C395" t="str">
        <f>IFERROR(INDEX(Gruppi_Atleti!$B$2:$B$122,MATCH(B395,Gruppi_Atleti!$A$2:$A$122,0)),"")</f>
        <v/>
      </c>
    </row>
    <row r="396" spans="3:3" x14ac:dyDescent="0.25">
      <c r="C396" t="str">
        <f>IFERROR(INDEX(Gruppi_Atleti!$B$2:$B$122,MATCH(B396,Gruppi_Atleti!$A$2:$A$122,0)),"")</f>
        <v/>
      </c>
    </row>
    <row r="397" spans="3:3" x14ac:dyDescent="0.25">
      <c r="C397" t="str">
        <f>IFERROR(INDEX(Gruppi_Atleti!$B$2:$B$122,MATCH(B397,Gruppi_Atleti!$A$2:$A$122,0)),"")</f>
        <v/>
      </c>
    </row>
    <row r="398" spans="3:3" x14ac:dyDescent="0.25">
      <c r="C398" t="str">
        <f>IFERROR(INDEX(Gruppi_Atleti!$B$2:$B$122,MATCH(B398,Gruppi_Atleti!$A$2:$A$122,0)),"")</f>
        <v/>
      </c>
    </row>
    <row r="399" spans="3:3" x14ac:dyDescent="0.25">
      <c r="C399" t="str">
        <f>IFERROR(INDEX(Gruppi_Atleti!$B$2:$B$122,MATCH(B399,Gruppi_Atleti!$A$2:$A$122,0)),"")</f>
        <v/>
      </c>
    </row>
    <row r="400" spans="3:3" x14ac:dyDescent="0.25">
      <c r="C400" t="str">
        <f>IFERROR(INDEX(Gruppi_Atleti!$B$2:$B$122,MATCH(B400,Gruppi_Atleti!$A$2:$A$122,0)),"")</f>
        <v/>
      </c>
    </row>
    <row r="401" spans="3:3" x14ac:dyDescent="0.25">
      <c r="C401" t="str">
        <f>IFERROR(INDEX(Gruppi_Atleti!$B$2:$B$122,MATCH(B401,Gruppi_Atleti!$A$2:$A$122,0)),"")</f>
        <v/>
      </c>
    </row>
    <row r="402" spans="3:3" x14ac:dyDescent="0.25">
      <c r="C402" t="str">
        <f>IFERROR(INDEX(Gruppi_Atleti!$B$2:$B$122,MATCH(B402,Gruppi_Atleti!$A$2:$A$122,0)),"")</f>
        <v/>
      </c>
    </row>
    <row r="403" spans="3:3" x14ac:dyDescent="0.25">
      <c r="C403" t="str">
        <f>IFERROR(INDEX(Gruppi_Atleti!$B$2:$B$122,MATCH(B403,Gruppi_Atleti!$A$2:$A$122,0)),"")</f>
        <v/>
      </c>
    </row>
    <row r="404" spans="3:3" x14ac:dyDescent="0.25">
      <c r="C404" t="str">
        <f>IFERROR(INDEX(Gruppi_Atleti!$B$2:$B$122,MATCH(B404,Gruppi_Atleti!$A$2:$A$122,0)),"")</f>
        <v/>
      </c>
    </row>
    <row r="405" spans="3:3" x14ac:dyDescent="0.25">
      <c r="C405" t="str">
        <f>IFERROR(INDEX(Gruppi_Atleti!$B$2:$B$122,MATCH(B405,Gruppi_Atleti!$A$2:$A$122,0)),"")</f>
        <v/>
      </c>
    </row>
    <row r="406" spans="3:3" x14ac:dyDescent="0.25">
      <c r="C406" t="str">
        <f>IFERROR(INDEX(Gruppi_Atleti!$B$2:$B$122,MATCH(B406,Gruppi_Atleti!$A$2:$A$122,0)),"")</f>
        <v/>
      </c>
    </row>
    <row r="407" spans="3:3" x14ac:dyDescent="0.25">
      <c r="C407" t="str">
        <f>IFERROR(INDEX(Gruppi_Atleti!$B$2:$B$122,MATCH(B407,Gruppi_Atleti!$A$2:$A$122,0)),"")</f>
        <v/>
      </c>
    </row>
    <row r="408" spans="3:3" x14ac:dyDescent="0.25">
      <c r="C408" t="str">
        <f>IFERROR(INDEX(Gruppi_Atleti!$B$2:$B$122,MATCH(B408,Gruppi_Atleti!$A$2:$A$122,0)),"")</f>
        <v/>
      </c>
    </row>
    <row r="409" spans="3:3" x14ac:dyDescent="0.25">
      <c r="C409" t="str">
        <f>IFERROR(INDEX(Gruppi_Atleti!$B$2:$B$122,MATCH(B409,Gruppi_Atleti!$A$2:$A$122,0)),"")</f>
        <v/>
      </c>
    </row>
    <row r="410" spans="3:3" x14ac:dyDescent="0.25">
      <c r="C410" t="str">
        <f>IFERROR(INDEX(Gruppi_Atleti!$B$2:$B$122,MATCH(B410,Gruppi_Atleti!$A$2:$A$122,0)),"")</f>
        <v/>
      </c>
    </row>
    <row r="411" spans="3:3" x14ac:dyDescent="0.25">
      <c r="C411" t="str">
        <f>IFERROR(INDEX(Gruppi_Atleti!$B$2:$B$122,MATCH(B411,Gruppi_Atleti!$A$2:$A$122,0)),"")</f>
        <v/>
      </c>
    </row>
    <row r="412" spans="3:3" x14ac:dyDescent="0.25">
      <c r="C412" t="str">
        <f>IFERROR(INDEX(Gruppi_Atleti!$B$2:$B$122,MATCH(B412,Gruppi_Atleti!$A$2:$A$122,0)),"")</f>
        <v/>
      </c>
    </row>
    <row r="413" spans="3:3" x14ac:dyDescent="0.25">
      <c r="C413" t="str">
        <f>IFERROR(INDEX(Gruppi_Atleti!$B$2:$B$122,MATCH(B413,Gruppi_Atleti!$A$2:$A$122,0)),"")</f>
        <v/>
      </c>
    </row>
    <row r="414" spans="3:3" x14ac:dyDescent="0.25">
      <c r="C414" t="str">
        <f>IFERROR(INDEX(Gruppi_Atleti!$B$2:$B$122,MATCH(B414,Gruppi_Atleti!$A$2:$A$122,0)),"")</f>
        <v/>
      </c>
    </row>
    <row r="415" spans="3:3" x14ac:dyDescent="0.25">
      <c r="C415" t="str">
        <f>IFERROR(INDEX(Gruppi_Atleti!$B$2:$B$122,MATCH(B415,Gruppi_Atleti!$A$2:$A$122,0)),"")</f>
        <v/>
      </c>
    </row>
    <row r="416" spans="3:3" x14ac:dyDescent="0.25">
      <c r="C416" t="str">
        <f>IFERROR(INDEX(Gruppi_Atleti!$B$2:$B$122,MATCH(B416,Gruppi_Atleti!$A$2:$A$122,0)),"")</f>
        <v/>
      </c>
    </row>
    <row r="417" spans="3:3" x14ac:dyDescent="0.25">
      <c r="C417" t="str">
        <f>IFERROR(INDEX(Gruppi_Atleti!$B$2:$B$122,MATCH(B417,Gruppi_Atleti!$A$2:$A$122,0)),"")</f>
        <v/>
      </c>
    </row>
    <row r="418" spans="3:3" x14ac:dyDescent="0.25">
      <c r="C418" t="str">
        <f>IFERROR(INDEX(Gruppi_Atleti!$B$2:$B$122,MATCH(B418,Gruppi_Atleti!$A$2:$A$122,0)),"")</f>
        <v/>
      </c>
    </row>
    <row r="419" spans="3:3" x14ac:dyDescent="0.25">
      <c r="C419" t="str">
        <f>IFERROR(INDEX(Gruppi_Atleti!$B$2:$B$122,MATCH(B419,Gruppi_Atleti!$A$2:$A$122,0)),"")</f>
        <v/>
      </c>
    </row>
    <row r="420" spans="3:3" x14ac:dyDescent="0.25">
      <c r="C420" t="str">
        <f>IFERROR(INDEX(Gruppi_Atleti!$B$2:$B$122,MATCH(B420,Gruppi_Atleti!$A$2:$A$122,0)),"")</f>
        <v/>
      </c>
    </row>
    <row r="421" spans="3:3" x14ac:dyDescent="0.25">
      <c r="C421" t="str">
        <f>IFERROR(INDEX(Gruppi_Atleti!$B$2:$B$122,MATCH(B421,Gruppi_Atleti!$A$2:$A$122,0)),"")</f>
        <v/>
      </c>
    </row>
    <row r="422" spans="3:3" x14ac:dyDescent="0.25">
      <c r="C422" t="str">
        <f>IFERROR(INDEX(Gruppi_Atleti!$B$2:$B$122,MATCH(B422,Gruppi_Atleti!$A$2:$A$122,0)),"")</f>
        <v/>
      </c>
    </row>
    <row r="423" spans="3:3" x14ac:dyDescent="0.25">
      <c r="C423" t="str">
        <f>IFERROR(INDEX(Gruppi_Atleti!$B$2:$B$122,MATCH(B423,Gruppi_Atleti!$A$2:$A$122,0)),"")</f>
        <v/>
      </c>
    </row>
    <row r="424" spans="3:3" x14ac:dyDescent="0.25">
      <c r="C424" t="str">
        <f>IFERROR(INDEX(Gruppi_Atleti!$B$2:$B$122,MATCH(B424,Gruppi_Atleti!$A$2:$A$122,0)),"")</f>
        <v/>
      </c>
    </row>
    <row r="425" spans="3:3" x14ac:dyDescent="0.25">
      <c r="C425" t="str">
        <f>IFERROR(INDEX(Gruppi_Atleti!$B$2:$B$122,MATCH(B425,Gruppi_Atleti!$A$2:$A$122,0)),"")</f>
        <v/>
      </c>
    </row>
    <row r="426" spans="3:3" x14ac:dyDescent="0.25">
      <c r="C426" t="str">
        <f>IFERROR(INDEX(Gruppi_Atleti!$B$2:$B$122,MATCH(B426,Gruppi_Atleti!$A$2:$A$122,0)),"")</f>
        <v/>
      </c>
    </row>
    <row r="427" spans="3:3" x14ac:dyDescent="0.25">
      <c r="C427" t="str">
        <f>IFERROR(INDEX(Gruppi_Atleti!$B$2:$B$122,MATCH(B427,Gruppi_Atleti!$A$2:$A$122,0)),"")</f>
        <v/>
      </c>
    </row>
    <row r="428" spans="3:3" x14ac:dyDescent="0.25">
      <c r="C428" t="str">
        <f>IFERROR(INDEX(Gruppi_Atleti!$B$2:$B$122,MATCH(B428,Gruppi_Atleti!$A$2:$A$122,0)),"")</f>
        <v/>
      </c>
    </row>
    <row r="429" spans="3:3" x14ac:dyDescent="0.25">
      <c r="C429" t="str">
        <f>IFERROR(INDEX(Gruppi_Atleti!$B$2:$B$122,MATCH(B429,Gruppi_Atleti!$A$2:$A$122,0)),"")</f>
        <v/>
      </c>
    </row>
    <row r="430" spans="3:3" x14ac:dyDescent="0.25">
      <c r="C430" t="str">
        <f>IFERROR(INDEX(Gruppi_Atleti!$B$2:$B$122,MATCH(B430,Gruppi_Atleti!$A$2:$A$122,0)),"")</f>
        <v/>
      </c>
    </row>
    <row r="431" spans="3:3" x14ac:dyDescent="0.25">
      <c r="C431" t="str">
        <f>IFERROR(INDEX(Gruppi_Atleti!$B$2:$B$122,MATCH(B431,Gruppi_Atleti!$A$2:$A$122,0)),"")</f>
        <v/>
      </c>
    </row>
    <row r="432" spans="3:3" x14ac:dyDescent="0.25">
      <c r="C432" t="str">
        <f>IFERROR(INDEX(Gruppi_Atleti!$B$2:$B$122,MATCH(B432,Gruppi_Atleti!$A$2:$A$122,0)),"")</f>
        <v/>
      </c>
    </row>
    <row r="433" spans="3:3" x14ac:dyDescent="0.25">
      <c r="C433" t="str">
        <f>IFERROR(INDEX(Gruppi_Atleti!$B$2:$B$122,MATCH(B433,Gruppi_Atleti!$A$2:$A$122,0)),"")</f>
        <v/>
      </c>
    </row>
    <row r="434" spans="3:3" x14ac:dyDescent="0.25">
      <c r="C434" t="str">
        <f>IFERROR(INDEX(Gruppi_Atleti!$B$2:$B$122,MATCH(B434,Gruppi_Atleti!$A$2:$A$122,0)),"")</f>
        <v/>
      </c>
    </row>
    <row r="435" spans="3:3" x14ac:dyDescent="0.25">
      <c r="C435" t="str">
        <f>IFERROR(INDEX(Gruppi_Atleti!$B$2:$B$122,MATCH(B435,Gruppi_Atleti!$A$2:$A$122,0)),"")</f>
        <v/>
      </c>
    </row>
    <row r="436" spans="3:3" x14ac:dyDescent="0.25">
      <c r="C436" t="str">
        <f>IFERROR(INDEX(Gruppi_Atleti!$B$2:$B$122,MATCH(B436,Gruppi_Atleti!$A$2:$A$122,0)),"")</f>
        <v/>
      </c>
    </row>
    <row r="437" spans="3:3" x14ac:dyDescent="0.25">
      <c r="C437" t="str">
        <f>IFERROR(INDEX(Gruppi_Atleti!$B$2:$B$122,MATCH(B437,Gruppi_Atleti!$A$2:$A$122,0)),"")</f>
        <v/>
      </c>
    </row>
    <row r="438" spans="3:3" x14ac:dyDescent="0.25">
      <c r="C438" t="str">
        <f>IFERROR(INDEX(Gruppi_Atleti!$B$2:$B$122,MATCH(B438,Gruppi_Atleti!$A$2:$A$122,0)),"")</f>
        <v/>
      </c>
    </row>
    <row r="439" spans="3:3" x14ac:dyDescent="0.25">
      <c r="C439" t="str">
        <f>IFERROR(INDEX(Gruppi_Atleti!$B$2:$B$122,MATCH(B439,Gruppi_Atleti!$A$2:$A$122,0)),"")</f>
        <v/>
      </c>
    </row>
    <row r="440" spans="3:3" x14ac:dyDescent="0.25">
      <c r="C440" t="str">
        <f>IFERROR(INDEX(Gruppi_Atleti!$B$2:$B$122,MATCH(B440,Gruppi_Atleti!$A$2:$A$122,0)),"")</f>
        <v/>
      </c>
    </row>
    <row r="441" spans="3:3" x14ac:dyDescent="0.25">
      <c r="C441" t="str">
        <f>IFERROR(INDEX(Gruppi_Atleti!$B$2:$B$122,MATCH(B441,Gruppi_Atleti!$A$2:$A$122,0)),"")</f>
        <v/>
      </c>
    </row>
    <row r="442" spans="3:3" x14ac:dyDescent="0.25">
      <c r="C442" t="str">
        <f>IFERROR(INDEX(Gruppi_Atleti!$B$2:$B$122,MATCH(B442,Gruppi_Atleti!$A$2:$A$122,0)),"")</f>
        <v/>
      </c>
    </row>
    <row r="443" spans="3:3" x14ac:dyDescent="0.25">
      <c r="C443" t="str">
        <f>IFERROR(INDEX(Gruppi_Atleti!$B$2:$B$122,MATCH(B443,Gruppi_Atleti!$A$2:$A$122,0)),"")</f>
        <v/>
      </c>
    </row>
    <row r="444" spans="3:3" x14ac:dyDescent="0.25">
      <c r="C444" t="str">
        <f>IFERROR(INDEX(Gruppi_Atleti!$B$2:$B$122,MATCH(B444,Gruppi_Atleti!$A$2:$A$122,0)),"")</f>
        <v/>
      </c>
    </row>
    <row r="445" spans="3:3" x14ac:dyDescent="0.25">
      <c r="C445" t="str">
        <f>IFERROR(INDEX(Gruppi_Atleti!$B$2:$B$122,MATCH(B445,Gruppi_Atleti!$A$2:$A$122,0)),"")</f>
        <v/>
      </c>
    </row>
    <row r="446" spans="3:3" x14ac:dyDescent="0.25">
      <c r="C446" t="str">
        <f>IFERROR(INDEX(Gruppi_Atleti!$B$2:$B$122,MATCH(B446,Gruppi_Atleti!$A$2:$A$122,0)),"")</f>
        <v/>
      </c>
    </row>
    <row r="447" spans="3:3" x14ac:dyDescent="0.25">
      <c r="C447" t="str">
        <f>IFERROR(INDEX(Gruppi_Atleti!$B$2:$B$122,MATCH(B447,Gruppi_Atleti!$A$2:$A$122,0)),"")</f>
        <v/>
      </c>
    </row>
    <row r="448" spans="3:3" x14ac:dyDescent="0.25">
      <c r="C448" t="str">
        <f>IFERROR(INDEX(Gruppi_Atleti!$B$2:$B$122,MATCH(B448,Gruppi_Atleti!$A$2:$A$122,0)),"")</f>
        <v/>
      </c>
    </row>
    <row r="449" spans="3:3" x14ac:dyDescent="0.25">
      <c r="C449" t="str">
        <f>IFERROR(INDEX(Gruppi_Atleti!$B$2:$B$122,MATCH(B449,Gruppi_Atleti!$A$2:$A$122,0)),"")</f>
        <v/>
      </c>
    </row>
    <row r="450" spans="3:3" x14ac:dyDescent="0.25">
      <c r="C450" t="str">
        <f>IFERROR(INDEX(Gruppi_Atleti!$B$2:$B$122,MATCH(B450,Gruppi_Atleti!$A$2:$A$122,0)),"")</f>
        <v/>
      </c>
    </row>
    <row r="451" spans="3:3" x14ac:dyDescent="0.25">
      <c r="C451" t="str">
        <f>IFERROR(INDEX(Gruppi_Atleti!$B$2:$B$122,MATCH(B451,Gruppi_Atleti!$A$2:$A$122,0)),"")</f>
        <v/>
      </c>
    </row>
    <row r="452" spans="3:3" x14ac:dyDescent="0.25">
      <c r="C452" t="str">
        <f>IFERROR(INDEX(Gruppi_Atleti!$B$2:$B$122,MATCH(B452,Gruppi_Atleti!$A$2:$A$122,0)),"")</f>
        <v/>
      </c>
    </row>
    <row r="453" spans="3:3" x14ac:dyDescent="0.25">
      <c r="C453" t="str">
        <f>IFERROR(INDEX(Gruppi_Atleti!$B$2:$B$122,MATCH(B453,Gruppi_Atleti!$A$2:$A$122,0)),"")</f>
        <v/>
      </c>
    </row>
    <row r="454" spans="3:3" x14ac:dyDescent="0.25">
      <c r="C454" t="str">
        <f>IFERROR(INDEX(Gruppi_Atleti!$B$2:$B$122,MATCH(B454,Gruppi_Atleti!$A$2:$A$122,0)),"")</f>
        <v/>
      </c>
    </row>
    <row r="455" spans="3:3" x14ac:dyDescent="0.25">
      <c r="C455" t="str">
        <f>IFERROR(INDEX(Gruppi_Atleti!$B$2:$B$122,MATCH(B455,Gruppi_Atleti!$A$2:$A$122,0)),"")</f>
        <v/>
      </c>
    </row>
    <row r="456" spans="3:3" x14ac:dyDescent="0.25">
      <c r="C456" t="str">
        <f>IFERROR(INDEX(Gruppi_Atleti!$B$2:$B$122,MATCH(B456,Gruppi_Atleti!$A$2:$A$122,0)),"")</f>
        <v/>
      </c>
    </row>
    <row r="457" spans="3:3" x14ac:dyDescent="0.25">
      <c r="C457" t="str">
        <f>IFERROR(INDEX(Gruppi_Atleti!$B$2:$B$122,MATCH(B457,Gruppi_Atleti!$A$2:$A$122,0)),"")</f>
        <v/>
      </c>
    </row>
    <row r="458" spans="3:3" x14ac:dyDescent="0.25">
      <c r="C458" t="str">
        <f>IFERROR(INDEX(Gruppi_Atleti!$B$2:$B$122,MATCH(B458,Gruppi_Atleti!$A$2:$A$122,0)),"")</f>
        <v/>
      </c>
    </row>
    <row r="459" spans="3:3" x14ac:dyDescent="0.25">
      <c r="C459" t="str">
        <f>IFERROR(INDEX(Gruppi_Atleti!$B$2:$B$122,MATCH(B459,Gruppi_Atleti!$A$2:$A$122,0)),"")</f>
        <v/>
      </c>
    </row>
    <row r="460" spans="3:3" x14ac:dyDescent="0.25">
      <c r="C460" t="str">
        <f>IFERROR(INDEX(Gruppi_Atleti!$B$2:$B$122,MATCH(B460,Gruppi_Atleti!$A$2:$A$122,0)),"")</f>
        <v/>
      </c>
    </row>
    <row r="461" spans="3:3" x14ac:dyDescent="0.25">
      <c r="C461" t="str">
        <f>IFERROR(INDEX(Gruppi_Atleti!$B$2:$B$122,MATCH(B461,Gruppi_Atleti!$A$2:$A$122,0)),"")</f>
        <v/>
      </c>
    </row>
    <row r="462" spans="3:3" x14ac:dyDescent="0.25">
      <c r="C462" t="str">
        <f>IFERROR(INDEX(Gruppi_Atleti!$B$2:$B$122,MATCH(B462,Gruppi_Atleti!$A$2:$A$122,0)),"")</f>
        <v/>
      </c>
    </row>
    <row r="463" spans="3:3" x14ac:dyDescent="0.25">
      <c r="C463" t="str">
        <f>IFERROR(INDEX(Gruppi_Atleti!$B$2:$B$122,MATCH(B463,Gruppi_Atleti!$A$2:$A$122,0)),"")</f>
        <v/>
      </c>
    </row>
    <row r="464" spans="3:3" x14ac:dyDescent="0.25">
      <c r="C464" t="str">
        <f>IFERROR(INDEX(Gruppi_Atleti!$B$2:$B$122,MATCH(B464,Gruppi_Atleti!$A$2:$A$122,0)),"")</f>
        <v/>
      </c>
    </row>
    <row r="465" spans="3:3" x14ac:dyDescent="0.25">
      <c r="C465" t="str">
        <f>IFERROR(INDEX(Gruppi_Atleti!$B$2:$B$122,MATCH(B465,Gruppi_Atleti!$A$2:$A$122,0)),"")</f>
        <v/>
      </c>
    </row>
    <row r="466" spans="3:3" x14ac:dyDescent="0.25">
      <c r="C466" t="str">
        <f>IFERROR(INDEX(Gruppi_Atleti!$B$2:$B$122,MATCH(B466,Gruppi_Atleti!$A$2:$A$122,0)),"")</f>
        <v/>
      </c>
    </row>
    <row r="467" spans="3:3" x14ac:dyDescent="0.25">
      <c r="C467" t="str">
        <f>IFERROR(INDEX(Gruppi_Atleti!$B$2:$B$122,MATCH(B467,Gruppi_Atleti!$A$2:$A$122,0)),"")</f>
        <v/>
      </c>
    </row>
    <row r="468" spans="3:3" x14ac:dyDescent="0.25">
      <c r="C468" t="str">
        <f>IFERROR(INDEX(Gruppi_Atleti!$B$2:$B$122,MATCH(B468,Gruppi_Atleti!$A$2:$A$122,0)),"")</f>
        <v/>
      </c>
    </row>
    <row r="469" spans="3:3" x14ac:dyDescent="0.25">
      <c r="C469" t="str">
        <f>IFERROR(INDEX(Gruppi_Atleti!$B$2:$B$122,MATCH(B469,Gruppi_Atleti!$A$2:$A$122,0)),"")</f>
        <v/>
      </c>
    </row>
    <row r="470" spans="3:3" x14ac:dyDescent="0.25">
      <c r="C470" t="str">
        <f>IFERROR(INDEX(Gruppi_Atleti!$B$2:$B$122,MATCH(B470,Gruppi_Atleti!$A$2:$A$122,0)),"")</f>
        <v/>
      </c>
    </row>
    <row r="471" spans="3:3" x14ac:dyDescent="0.25">
      <c r="C471" t="str">
        <f>IFERROR(INDEX(Gruppi_Atleti!$B$2:$B$122,MATCH(B471,Gruppi_Atleti!$A$2:$A$122,0)),"")</f>
        <v/>
      </c>
    </row>
    <row r="472" spans="3:3" x14ac:dyDescent="0.25">
      <c r="C472" t="str">
        <f>IFERROR(INDEX(Gruppi_Atleti!$B$2:$B$122,MATCH(B472,Gruppi_Atleti!$A$2:$A$122,0)),"")</f>
        <v/>
      </c>
    </row>
    <row r="473" spans="3:3" x14ac:dyDescent="0.25">
      <c r="C473" t="str">
        <f>IFERROR(INDEX(Gruppi_Atleti!$B$2:$B$122,MATCH(B473,Gruppi_Atleti!$A$2:$A$122,0)),"")</f>
        <v/>
      </c>
    </row>
    <row r="474" spans="3:3" x14ac:dyDescent="0.25">
      <c r="C474" t="str">
        <f>IFERROR(INDEX(Gruppi_Atleti!$B$2:$B$122,MATCH(B474,Gruppi_Atleti!$A$2:$A$122,0)),"")</f>
        <v/>
      </c>
    </row>
    <row r="475" spans="3:3" x14ac:dyDescent="0.25">
      <c r="C475" t="str">
        <f>IFERROR(INDEX(Gruppi_Atleti!$B$2:$B$122,MATCH(B475,Gruppi_Atleti!$A$2:$A$122,0)),"")</f>
        <v/>
      </c>
    </row>
    <row r="476" spans="3:3" x14ac:dyDescent="0.25">
      <c r="C476" t="str">
        <f>IFERROR(INDEX(Gruppi_Atleti!$B$2:$B$122,MATCH(B476,Gruppi_Atleti!$A$2:$A$122,0)),"")</f>
        <v/>
      </c>
    </row>
    <row r="477" spans="3:3" x14ac:dyDescent="0.25">
      <c r="C477" t="str">
        <f>IFERROR(INDEX(Gruppi_Atleti!$B$2:$B$122,MATCH(B477,Gruppi_Atleti!$A$2:$A$122,0)),"")</f>
        <v/>
      </c>
    </row>
    <row r="478" spans="3:3" x14ac:dyDescent="0.25">
      <c r="C478" t="str">
        <f>IFERROR(INDEX(Gruppi_Atleti!$B$2:$B$122,MATCH(B478,Gruppi_Atleti!$A$2:$A$122,0)),"")</f>
        <v/>
      </c>
    </row>
    <row r="479" spans="3:3" x14ac:dyDescent="0.25">
      <c r="C479" t="str">
        <f>IFERROR(INDEX(Gruppi_Atleti!$B$2:$B$122,MATCH(B479,Gruppi_Atleti!$A$2:$A$122,0)),"")</f>
        <v/>
      </c>
    </row>
    <row r="480" spans="3:3" x14ac:dyDescent="0.25">
      <c r="C480" t="str">
        <f>IFERROR(INDEX(Gruppi_Atleti!$B$2:$B$122,MATCH(B480,Gruppi_Atleti!$A$2:$A$122,0)),"")</f>
        <v/>
      </c>
    </row>
    <row r="481" spans="3:3" x14ac:dyDescent="0.25">
      <c r="C481" t="str">
        <f>IFERROR(INDEX(Gruppi_Atleti!$B$2:$B$122,MATCH(B481,Gruppi_Atleti!$A$2:$A$122,0)),"")</f>
        <v/>
      </c>
    </row>
    <row r="482" spans="3:3" x14ac:dyDescent="0.25">
      <c r="C482" t="str">
        <f>IFERROR(INDEX(Gruppi_Atleti!$B$2:$B$122,MATCH(B482,Gruppi_Atleti!$A$2:$A$122,0)),"")</f>
        <v/>
      </c>
    </row>
    <row r="483" spans="3:3" x14ac:dyDescent="0.25">
      <c r="C483" t="str">
        <f>IFERROR(INDEX(Gruppi_Atleti!$B$2:$B$122,MATCH(B483,Gruppi_Atleti!$A$2:$A$122,0)),"")</f>
        <v/>
      </c>
    </row>
    <row r="484" spans="3:3" x14ac:dyDescent="0.25">
      <c r="C484" t="str">
        <f>IFERROR(INDEX(Gruppi_Atleti!$B$2:$B$122,MATCH(B484,Gruppi_Atleti!$A$2:$A$122,0)),"")</f>
        <v/>
      </c>
    </row>
    <row r="485" spans="3:3" x14ac:dyDescent="0.25">
      <c r="C485" t="str">
        <f>IFERROR(INDEX(Gruppi_Atleti!$B$2:$B$122,MATCH(B485,Gruppi_Atleti!$A$2:$A$122,0)),"")</f>
        <v/>
      </c>
    </row>
    <row r="486" spans="3:3" x14ac:dyDescent="0.25">
      <c r="C486" t="str">
        <f>IFERROR(INDEX(Gruppi_Atleti!$B$2:$B$122,MATCH(B486,Gruppi_Atleti!$A$2:$A$122,0)),"")</f>
        <v/>
      </c>
    </row>
    <row r="487" spans="3:3" x14ac:dyDescent="0.25">
      <c r="C487" t="str">
        <f>IFERROR(INDEX(Gruppi_Atleti!$B$2:$B$122,MATCH(B487,Gruppi_Atleti!$A$2:$A$122,0)),"")</f>
        <v/>
      </c>
    </row>
    <row r="488" spans="3:3" x14ac:dyDescent="0.25">
      <c r="C488" t="str">
        <f>IFERROR(INDEX(Gruppi_Atleti!$B$2:$B$122,MATCH(B488,Gruppi_Atleti!$A$2:$A$122,0)),"")</f>
        <v/>
      </c>
    </row>
    <row r="489" spans="3:3" x14ac:dyDescent="0.25">
      <c r="C489" t="str">
        <f>IFERROR(INDEX(Gruppi_Atleti!$B$2:$B$122,MATCH(B489,Gruppi_Atleti!$A$2:$A$122,0)),"")</f>
        <v/>
      </c>
    </row>
    <row r="490" spans="3:3" x14ac:dyDescent="0.25">
      <c r="C490" t="str">
        <f>IFERROR(INDEX(Gruppi_Atleti!$B$2:$B$122,MATCH(B490,Gruppi_Atleti!$A$2:$A$122,0)),"")</f>
        <v/>
      </c>
    </row>
    <row r="491" spans="3:3" x14ac:dyDescent="0.25">
      <c r="C491" t="str">
        <f>IFERROR(INDEX(Gruppi_Atleti!$B$2:$B$122,MATCH(B491,Gruppi_Atleti!$A$2:$A$122,0)),"")</f>
        <v/>
      </c>
    </row>
    <row r="492" spans="3:3" x14ac:dyDescent="0.25">
      <c r="C492" t="str">
        <f>IFERROR(INDEX(Gruppi_Atleti!$B$2:$B$122,MATCH(B492,Gruppi_Atleti!$A$2:$A$122,0)),"")</f>
        <v/>
      </c>
    </row>
    <row r="493" spans="3:3" x14ac:dyDescent="0.25">
      <c r="C493" t="str">
        <f>IFERROR(INDEX(Gruppi_Atleti!$B$2:$B$122,MATCH(B493,Gruppi_Atleti!$A$2:$A$122,0)),"")</f>
        <v/>
      </c>
    </row>
    <row r="494" spans="3:3" x14ac:dyDescent="0.25">
      <c r="C494" t="str">
        <f>IFERROR(INDEX(Gruppi_Atleti!$B$2:$B$122,MATCH(B494,Gruppi_Atleti!$A$2:$A$122,0)),"")</f>
        <v/>
      </c>
    </row>
    <row r="495" spans="3:3" x14ac:dyDescent="0.25">
      <c r="C495" t="str">
        <f>IFERROR(INDEX(Gruppi_Atleti!$B$2:$B$122,MATCH(B495,Gruppi_Atleti!$A$2:$A$122,0)),"")</f>
        <v/>
      </c>
    </row>
    <row r="496" spans="3:3" x14ac:dyDescent="0.25">
      <c r="C496" t="str">
        <f>IFERROR(INDEX(Gruppi_Atleti!$B$2:$B$122,MATCH(B496,Gruppi_Atleti!$A$2:$A$122,0)),"")</f>
        <v/>
      </c>
    </row>
    <row r="497" spans="3:3" x14ac:dyDescent="0.25">
      <c r="C497" t="str">
        <f>IFERROR(INDEX(Gruppi_Atleti!$B$2:$B$122,MATCH(B497,Gruppi_Atleti!$A$2:$A$122,0)),"")</f>
        <v/>
      </c>
    </row>
    <row r="498" spans="3:3" x14ac:dyDescent="0.25">
      <c r="C498" t="str">
        <f>IFERROR(INDEX(Gruppi_Atleti!$B$2:$B$122,MATCH(B498,Gruppi_Atleti!$A$2:$A$122,0)),"")</f>
        <v/>
      </c>
    </row>
    <row r="499" spans="3:3" x14ac:dyDescent="0.25">
      <c r="C499" t="str">
        <f>IFERROR(INDEX(Gruppi_Atleti!$B$2:$B$122,MATCH(B499,Gruppi_Atleti!$A$2:$A$122,0)),"")</f>
        <v/>
      </c>
    </row>
    <row r="500" spans="3:3" x14ac:dyDescent="0.25">
      <c r="C500" t="str">
        <f>IFERROR(INDEX(Gruppi_Atleti!$B$2:$B$122,MATCH(B500,Gruppi_Atleti!$A$2:$A$122,0)),"")</f>
        <v/>
      </c>
    </row>
    <row r="501" spans="3:3" x14ac:dyDescent="0.25">
      <c r="C501" t="str">
        <f>IFERROR(INDEX(Gruppi_Atleti!$B$2:$B$122,MATCH(B501,Gruppi_Atleti!$A$2:$A$122,0)),"")</f>
        <v/>
      </c>
    </row>
    <row r="502" spans="3:3" x14ac:dyDescent="0.25">
      <c r="C502" t="str">
        <f>IFERROR(INDEX(Gruppi_Atleti!$B$2:$B$122,MATCH(B502,Gruppi_Atleti!$A$2:$A$122,0)),"")</f>
        <v/>
      </c>
    </row>
    <row r="503" spans="3:3" x14ac:dyDescent="0.25">
      <c r="C503" t="str">
        <f>IFERROR(INDEX(Gruppi_Atleti!$B$2:$B$122,MATCH(B503,Gruppi_Atleti!$A$2:$A$122,0)),"")</f>
        <v/>
      </c>
    </row>
    <row r="504" spans="3:3" x14ac:dyDescent="0.25">
      <c r="C504" t="str">
        <f>IFERROR(INDEX(Gruppi_Atleti!$B$2:$B$122,MATCH(B504,Gruppi_Atleti!$A$2:$A$122,0)),"")</f>
        <v/>
      </c>
    </row>
    <row r="505" spans="3:3" x14ac:dyDescent="0.25">
      <c r="C505" t="str">
        <f>IFERROR(INDEX(Gruppi_Atleti!$B$2:$B$122,MATCH(B505,Gruppi_Atleti!$A$2:$A$122,0)),"")</f>
        <v/>
      </c>
    </row>
    <row r="506" spans="3:3" x14ac:dyDescent="0.25">
      <c r="C506" t="str">
        <f>IFERROR(INDEX(Gruppi_Atleti!$B$2:$B$122,MATCH(B506,Gruppi_Atleti!$A$2:$A$122,0)),"")</f>
        <v/>
      </c>
    </row>
    <row r="507" spans="3:3" x14ac:dyDescent="0.25">
      <c r="C507" t="str">
        <f>IFERROR(INDEX(Gruppi_Atleti!$B$2:$B$122,MATCH(B507,Gruppi_Atleti!$A$2:$A$122,0)),"")</f>
        <v/>
      </c>
    </row>
    <row r="508" spans="3:3" x14ac:dyDescent="0.25">
      <c r="C508" t="str">
        <f>IFERROR(INDEX(Gruppi_Atleti!$B$2:$B$122,MATCH(B508,Gruppi_Atleti!$A$2:$A$122,0)),"")</f>
        <v/>
      </c>
    </row>
    <row r="509" spans="3:3" x14ac:dyDescent="0.25">
      <c r="C509" t="str">
        <f>IFERROR(INDEX(Gruppi_Atleti!$B$2:$B$122,MATCH(B509,Gruppi_Atleti!$A$2:$A$122,0)),"")</f>
        <v/>
      </c>
    </row>
    <row r="510" spans="3:3" x14ac:dyDescent="0.25">
      <c r="C510" t="str">
        <f>IFERROR(INDEX(Gruppi_Atleti!$B$2:$B$122,MATCH(B510,Gruppi_Atleti!$A$2:$A$122,0)),"")</f>
        <v/>
      </c>
    </row>
    <row r="511" spans="3:3" x14ac:dyDescent="0.25">
      <c r="C511" t="str">
        <f>IFERROR(INDEX(Gruppi_Atleti!$B$2:$B$122,MATCH(B511,Gruppi_Atleti!$A$2:$A$122,0)),"")</f>
        <v/>
      </c>
    </row>
    <row r="512" spans="3:3" x14ac:dyDescent="0.25">
      <c r="C512" t="str">
        <f>IFERROR(INDEX(Gruppi_Atleti!$B$2:$B$122,MATCH(B512,Gruppi_Atleti!$A$2:$A$122,0)),"")</f>
        <v/>
      </c>
    </row>
    <row r="513" spans="3:3" x14ac:dyDescent="0.25">
      <c r="C513" t="str">
        <f>IFERROR(INDEX(Gruppi_Atleti!$B$2:$B$122,MATCH(B513,Gruppi_Atleti!$A$2:$A$122,0)),"")</f>
        <v/>
      </c>
    </row>
    <row r="514" spans="3:3" x14ac:dyDescent="0.25">
      <c r="C514" t="str">
        <f>IFERROR(INDEX(Gruppi_Atleti!$B$2:$B$122,MATCH(B514,Gruppi_Atleti!$A$2:$A$122,0)),"")</f>
        <v/>
      </c>
    </row>
    <row r="515" spans="3:3" x14ac:dyDescent="0.25">
      <c r="C515" t="str">
        <f>IFERROR(INDEX(Gruppi_Atleti!$B$2:$B$122,MATCH(B515,Gruppi_Atleti!$A$2:$A$122,0)),"")</f>
        <v/>
      </c>
    </row>
    <row r="516" spans="3:3" x14ac:dyDescent="0.25">
      <c r="C516" t="str">
        <f>IFERROR(INDEX(Gruppi_Atleti!$B$2:$B$122,MATCH(B516,Gruppi_Atleti!$A$2:$A$122,0)),"")</f>
        <v/>
      </c>
    </row>
    <row r="517" spans="3:3" x14ac:dyDescent="0.25">
      <c r="C517" t="str">
        <f>IFERROR(INDEX(Gruppi_Atleti!$B$2:$B$122,MATCH(B517,Gruppi_Atleti!$A$2:$A$122,0)),"")</f>
        <v/>
      </c>
    </row>
    <row r="518" spans="3:3" x14ac:dyDescent="0.25">
      <c r="C518" t="str">
        <f>IFERROR(INDEX(Gruppi_Atleti!$B$2:$B$122,MATCH(B518,Gruppi_Atleti!$A$2:$A$122,0)),"")</f>
        <v/>
      </c>
    </row>
    <row r="519" spans="3:3" x14ac:dyDescent="0.25">
      <c r="C519" t="str">
        <f>IFERROR(INDEX(Gruppi_Atleti!$B$2:$B$122,MATCH(B519,Gruppi_Atleti!$A$2:$A$122,0)),"")</f>
        <v/>
      </c>
    </row>
    <row r="520" spans="3:3" x14ac:dyDescent="0.25">
      <c r="C520" t="str">
        <f>IFERROR(INDEX(Gruppi_Atleti!$B$2:$B$122,MATCH(B520,Gruppi_Atleti!$A$2:$A$122,0)),"")</f>
        <v/>
      </c>
    </row>
    <row r="521" spans="3:3" x14ac:dyDescent="0.25">
      <c r="C521" t="str">
        <f>IFERROR(INDEX(Gruppi_Atleti!$B$2:$B$122,MATCH(B521,Gruppi_Atleti!$A$2:$A$122,0)),"")</f>
        <v/>
      </c>
    </row>
    <row r="522" spans="3:3" x14ac:dyDescent="0.25">
      <c r="C522" t="str">
        <f>IFERROR(INDEX(Gruppi_Atleti!$B$2:$B$122,MATCH(B522,Gruppi_Atleti!$A$2:$A$122,0)),"")</f>
        <v/>
      </c>
    </row>
    <row r="523" spans="3:3" x14ac:dyDescent="0.25">
      <c r="C523" t="str">
        <f>IFERROR(INDEX(Gruppi_Atleti!$B$2:$B$122,MATCH(B523,Gruppi_Atleti!$A$2:$A$122,0)),"")</f>
        <v/>
      </c>
    </row>
    <row r="524" spans="3:3" x14ac:dyDescent="0.25">
      <c r="C524" t="str">
        <f>IFERROR(INDEX(Gruppi_Atleti!$B$2:$B$122,MATCH(B524,Gruppi_Atleti!$A$2:$A$122,0)),"")</f>
        <v/>
      </c>
    </row>
    <row r="525" spans="3:3" x14ac:dyDescent="0.25">
      <c r="C525" t="str">
        <f>IFERROR(INDEX(Gruppi_Atleti!$B$2:$B$122,MATCH(B525,Gruppi_Atleti!$A$2:$A$122,0)),"")</f>
        <v/>
      </c>
    </row>
    <row r="526" spans="3:3" x14ac:dyDescent="0.25">
      <c r="C526" t="str">
        <f>IFERROR(INDEX(Gruppi_Atleti!$B$2:$B$122,MATCH(B526,Gruppi_Atleti!$A$2:$A$122,0)),"")</f>
        <v/>
      </c>
    </row>
    <row r="527" spans="3:3" x14ac:dyDescent="0.25">
      <c r="C527" t="str">
        <f>IFERROR(INDEX(Gruppi_Atleti!$B$2:$B$122,MATCH(B527,Gruppi_Atleti!$A$2:$A$122,0)),"")</f>
        <v/>
      </c>
    </row>
    <row r="528" spans="3:3" x14ac:dyDescent="0.25">
      <c r="C528" t="str">
        <f>IFERROR(INDEX(Gruppi_Atleti!$B$2:$B$122,MATCH(B528,Gruppi_Atleti!$A$2:$A$122,0)),"")</f>
        <v/>
      </c>
    </row>
    <row r="529" spans="3:3" x14ac:dyDescent="0.25">
      <c r="C529" t="str">
        <f>IFERROR(INDEX(Gruppi_Atleti!$B$2:$B$122,MATCH(B529,Gruppi_Atleti!$A$2:$A$122,0)),"")</f>
        <v/>
      </c>
    </row>
    <row r="530" spans="3:3" x14ac:dyDescent="0.25">
      <c r="C530" t="str">
        <f>IFERROR(INDEX(Gruppi_Atleti!$B$2:$B$122,MATCH(B530,Gruppi_Atleti!$A$2:$A$122,0)),"")</f>
        <v/>
      </c>
    </row>
    <row r="531" spans="3:3" x14ac:dyDescent="0.25">
      <c r="C531" t="str">
        <f>IFERROR(INDEX(Gruppi_Atleti!$B$2:$B$122,MATCH(B531,Gruppi_Atleti!$A$2:$A$122,0)),"")</f>
        <v/>
      </c>
    </row>
    <row r="532" spans="3:3" x14ac:dyDescent="0.25">
      <c r="C532" t="str">
        <f>IFERROR(INDEX(Gruppi_Atleti!$B$2:$B$122,MATCH(B532,Gruppi_Atleti!$A$2:$A$122,0)),"")</f>
        <v/>
      </c>
    </row>
    <row r="533" spans="3:3" x14ac:dyDescent="0.25">
      <c r="C533" t="str">
        <f>IFERROR(INDEX(Gruppi_Atleti!$B$2:$B$122,MATCH(B533,Gruppi_Atleti!$A$2:$A$122,0)),"")</f>
        <v/>
      </c>
    </row>
    <row r="534" spans="3:3" x14ac:dyDescent="0.25">
      <c r="C534" t="str">
        <f>IFERROR(INDEX(Gruppi_Atleti!$B$2:$B$122,MATCH(B534,Gruppi_Atleti!$A$2:$A$122,0)),"")</f>
        <v/>
      </c>
    </row>
    <row r="535" spans="3:3" x14ac:dyDescent="0.25">
      <c r="C535" t="str">
        <f>IFERROR(INDEX(Gruppi_Atleti!$B$2:$B$122,MATCH(B535,Gruppi_Atleti!$A$2:$A$122,0)),"")</f>
        <v/>
      </c>
    </row>
    <row r="536" spans="3:3" x14ac:dyDescent="0.25">
      <c r="C536" t="str">
        <f>IFERROR(INDEX(Gruppi_Atleti!$B$2:$B$122,MATCH(B536,Gruppi_Atleti!$A$2:$A$122,0)),"")</f>
        <v/>
      </c>
    </row>
    <row r="537" spans="3:3" x14ac:dyDescent="0.25">
      <c r="C537" t="str">
        <f>IFERROR(INDEX(Gruppi_Atleti!$B$2:$B$122,MATCH(B537,Gruppi_Atleti!$A$2:$A$122,0)),"")</f>
        <v/>
      </c>
    </row>
    <row r="538" spans="3:3" x14ac:dyDescent="0.25">
      <c r="C538" t="str">
        <f>IFERROR(INDEX(Gruppi_Atleti!$B$2:$B$122,MATCH(B538,Gruppi_Atleti!$A$2:$A$122,0)),"")</f>
        <v/>
      </c>
    </row>
    <row r="539" spans="3:3" x14ac:dyDescent="0.25">
      <c r="C539" t="str">
        <f>IFERROR(INDEX(Gruppi_Atleti!$B$2:$B$122,MATCH(B539,Gruppi_Atleti!$A$2:$A$122,0)),"")</f>
        <v/>
      </c>
    </row>
    <row r="540" spans="3:3" x14ac:dyDescent="0.25">
      <c r="C540" t="str">
        <f>IFERROR(INDEX(Gruppi_Atleti!$B$2:$B$122,MATCH(B540,Gruppi_Atleti!$A$2:$A$122,0)),"")</f>
        <v/>
      </c>
    </row>
    <row r="541" spans="3:3" x14ac:dyDescent="0.25">
      <c r="C541" t="str">
        <f>IFERROR(INDEX(Gruppi_Atleti!$B$2:$B$122,MATCH(B541,Gruppi_Atleti!$A$2:$A$122,0)),"")</f>
        <v/>
      </c>
    </row>
    <row r="542" spans="3:3" x14ac:dyDescent="0.25">
      <c r="C542" t="str">
        <f>IFERROR(INDEX(Gruppi_Atleti!$B$2:$B$122,MATCH(B542,Gruppi_Atleti!$A$2:$A$122,0)),"")</f>
        <v/>
      </c>
    </row>
    <row r="543" spans="3:3" x14ac:dyDescent="0.25">
      <c r="C543" t="str">
        <f>IFERROR(INDEX(Gruppi_Atleti!$B$2:$B$122,MATCH(B543,Gruppi_Atleti!$A$2:$A$122,0)),"")</f>
        <v/>
      </c>
    </row>
    <row r="544" spans="3:3" x14ac:dyDescent="0.25">
      <c r="C544" t="str">
        <f>IFERROR(INDEX(Gruppi_Atleti!$B$2:$B$122,MATCH(B544,Gruppi_Atleti!$A$2:$A$122,0)),"")</f>
        <v/>
      </c>
    </row>
    <row r="545" spans="3:3" x14ac:dyDescent="0.25">
      <c r="C545" t="str">
        <f>IFERROR(INDEX(Gruppi_Atleti!$B$2:$B$122,MATCH(B545,Gruppi_Atleti!$A$2:$A$122,0)),"")</f>
        <v/>
      </c>
    </row>
    <row r="546" spans="3:3" x14ac:dyDescent="0.25">
      <c r="C546" t="str">
        <f>IFERROR(INDEX(Gruppi_Atleti!$B$2:$B$122,MATCH(B546,Gruppi_Atleti!$A$2:$A$122,0)),"")</f>
        <v/>
      </c>
    </row>
    <row r="547" spans="3:3" x14ac:dyDescent="0.25">
      <c r="C547" t="str">
        <f>IFERROR(INDEX(Gruppi_Atleti!$B$2:$B$122,MATCH(B547,Gruppi_Atleti!$A$2:$A$122,0)),"")</f>
        <v/>
      </c>
    </row>
    <row r="548" spans="3:3" x14ac:dyDescent="0.25">
      <c r="C548" t="str">
        <f>IFERROR(INDEX(Gruppi_Atleti!$B$2:$B$122,MATCH(B548,Gruppi_Atleti!$A$2:$A$122,0)),"")</f>
        <v/>
      </c>
    </row>
    <row r="549" spans="3:3" x14ac:dyDescent="0.25">
      <c r="C549" t="str">
        <f>IFERROR(INDEX(Gruppi_Atleti!$B$2:$B$122,MATCH(B549,Gruppi_Atleti!$A$2:$A$122,0)),"")</f>
        <v/>
      </c>
    </row>
    <row r="550" spans="3:3" x14ac:dyDescent="0.25">
      <c r="C550" t="str">
        <f>IFERROR(INDEX(Gruppi_Atleti!$B$2:$B$122,MATCH(B550,Gruppi_Atleti!$A$2:$A$122,0)),"")</f>
        <v/>
      </c>
    </row>
    <row r="551" spans="3:3" x14ac:dyDescent="0.25">
      <c r="C551" t="str">
        <f>IFERROR(INDEX(Gruppi_Atleti!$B$2:$B$122,MATCH(B551,Gruppi_Atleti!$A$2:$A$122,0)),"")</f>
        <v/>
      </c>
    </row>
    <row r="552" spans="3:3" x14ac:dyDescent="0.25">
      <c r="C552" t="str">
        <f>IFERROR(INDEX(Gruppi_Atleti!$B$2:$B$122,MATCH(B552,Gruppi_Atleti!$A$2:$A$122,0)),"")</f>
        <v/>
      </c>
    </row>
    <row r="553" spans="3:3" x14ac:dyDescent="0.25">
      <c r="C553" t="str">
        <f>IFERROR(INDEX(Gruppi_Atleti!$B$2:$B$122,MATCH(B553,Gruppi_Atleti!$A$2:$A$122,0)),"")</f>
        <v/>
      </c>
    </row>
    <row r="554" spans="3:3" x14ac:dyDescent="0.25">
      <c r="C554" t="str">
        <f>IFERROR(INDEX(Gruppi_Atleti!$B$2:$B$122,MATCH(B554,Gruppi_Atleti!$A$2:$A$122,0)),"")</f>
        <v/>
      </c>
    </row>
    <row r="555" spans="3:3" x14ac:dyDescent="0.25">
      <c r="C555" t="str">
        <f>IFERROR(INDEX(Gruppi_Atleti!$B$2:$B$122,MATCH(B555,Gruppi_Atleti!$A$2:$A$122,0)),"")</f>
        <v/>
      </c>
    </row>
    <row r="556" spans="3:3" x14ac:dyDescent="0.25">
      <c r="C556" t="str">
        <f>IFERROR(INDEX(Gruppi_Atleti!$B$2:$B$122,MATCH(B556,Gruppi_Atleti!$A$2:$A$122,0)),"")</f>
        <v/>
      </c>
    </row>
    <row r="557" spans="3:3" x14ac:dyDescent="0.25">
      <c r="C557" t="str">
        <f>IFERROR(INDEX(Gruppi_Atleti!$B$2:$B$122,MATCH(B557,Gruppi_Atleti!$A$2:$A$122,0)),"")</f>
        <v/>
      </c>
    </row>
    <row r="558" spans="3:3" x14ac:dyDescent="0.25">
      <c r="C558" t="str">
        <f>IFERROR(INDEX(Gruppi_Atleti!$B$2:$B$122,MATCH(B558,Gruppi_Atleti!$A$2:$A$122,0)),"")</f>
        <v/>
      </c>
    </row>
    <row r="559" spans="3:3" x14ac:dyDescent="0.25">
      <c r="C559" t="str">
        <f>IFERROR(INDEX(Gruppi_Atleti!$B$2:$B$122,MATCH(B559,Gruppi_Atleti!$A$2:$A$122,0)),"")</f>
        <v/>
      </c>
    </row>
    <row r="560" spans="3:3" x14ac:dyDescent="0.25">
      <c r="C560" t="str">
        <f>IFERROR(INDEX(Gruppi_Atleti!$B$2:$B$122,MATCH(B560,Gruppi_Atleti!$A$2:$A$122,0)),"")</f>
        <v/>
      </c>
    </row>
    <row r="561" spans="3:3" x14ac:dyDescent="0.25">
      <c r="C561" t="str">
        <f>IFERROR(INDEX(Gruppi_Atleti!$B$2:$B$122,MATCH(B561,Gruppi_Atleti!$A$2:$A$122,0)),"")</f>
        <v/>
      </c>
    </row>
    <row r="562" spans="3:3" x14ac:dyDescent="0.25">
      <c r="C562" t="str">
        <f>IFERROR(INDEX(Gruppi_Atleti!$B$2:$B$122,MATCH(B562,Gruppi_Atleti!$A$2:$A$122,0)),"")</f>
        <v/>
      </c>
    </row>
    <row r="563" spans="3:3" x14ac:dyDescent="0.25">
      <c r="C563" t="str">
        <f>IFERROR(INDEX(Gruppi_Atleti!$B$2:$B$122,MATCH(B563,Gruppi_Atleti!$A$2:$A$122,0)),"")</f>
        <v/>
      </c>
    </row>
    <row r="564" spans="3:3" x14ac:dyDescent="0.25">
      <c r="C564" t="str">
        <f>IFERROR(INDEX(Gruppi_Atleti!$B$2:$B$122,MATCH(B564,Gruppi_Atleti!$A$2:$A$122,0)),"")</f>
        <v/>
      </c>
    </row>
    <row r="565" spans="3:3" x14ac:dyDescent="0.25">
      <c r="C565" t="str">
        <f>IFERROR(INDEX(Gruppi_Atleti!$B$2:$B$122,MATCH(B565,Gruppi_Atleti!$A$2:$A$122,0)),"")</f>
        <v/>
      </c>
    </row>
    <row r="566" spans="3:3" x14ac:dyDescent="0.25">
      <c r="C566" t="str">
        <f>IFERROR(INDEX(Gruppi_Atleti!$B$2:$B$122,MATCH(B566,Gruppi_Atleti!$A$2:$A$122,0)),"")</f>
        <v/>
      </c>
    </row>
    <row r="567" spans="3:3" x14ac:dyDescent="0.25">
      <c r="C567" t="str">
        <f>IFERROR(INDEX(Gruppi_Atleti!$B$2:$B$122,MATCH(B567,Gruppi_Atleti!$A$2:$A$122,0)),"")</f>
        <v/>
      </c>
    </row>
    <row r="568" spans="3:3" x14ac:dyDescent="0.25">
      <c r="C568" t="str">
        <f>IFERROR(INDEX(Gruppi_Atleti!$B$2:$B$122,MATCH(B568,Gruppi_Atleti!$A$2:$A$122,0)),"")</f>
        <v/>
      </c>
    </row>
    <row r="569" spans="3:3" x14ac:dyDescent="0.25">
      <c r="C569" t="str">
        <f>IFERROR(INDEX(Gruppi_Atleti!$B$2:$B$122,MATCH(B569,Gruppi_Atleti!$A$2:$A$122,0)),"")</f>
        <v/>
      </c>
    </row>
    <row r="570" spans="3:3" x14ac:dyDescent="0.25">
      <c r="C570" t="str">
        <f>IFERROR(INDEX(Gruppi_Atleti!$B$2:$B$122,MATCH(B570,Gruppi_Atleti!$A$2:$A$122,0)),"")</f>
        <v/>
      </c>
    </row>
    <row r="571" spans="3:3" x14ac:dyDescent="0.25">
      <c r="C571" t="str">
        <f>IFERROR(INDEX(Gruppi_Atleti!$B$2:$B$122,MATCH(B571,Gruppi_Atleti!$A$2:$A$122,0)),"")</f>
        <v/>
      </c>
    </row>
    <row r="572" spans="3:3" x14ac:dyDescent="0.25">
      <c r="C572" t="str">
        <f>IFERROR(INDEX(Gruppi_Atleti!$B$2:$B$122,MATCH(B572,Gruppi_Atleti!$A$2:$A$122,0)),"")</f>
        <v/>
      </c>
    </row>
    <row r="573" spans="3:3" x14ac:dyDescent="0.25">
      <c r="C573" t="str">
        <f>IFERROR(INDEX(Gruppi_Atleti!$B$2:$B$122,MATCH(B573,Gruppi_Atleti!$A$2:$A$122,0)),"")</f>
        <v/>
      </c>
    </row>
    <row r="574" spans="3:3" x14ac:dyDescent="0.25">
      <c r="C574" t="str">
        <f>IFERROR(INDEX(Gruppi_Atleti!$B$2:$B$122,MATCH(B574,Gruppi_Atleti!$A$2:$A$122,0)),"")</f>
        <v/>
      </c>
    </row>
    <row r="575" spans="3:3" x14ac:dyDescent="0.25">
      <c r="C575" t="str">
        <f>IFERROR(INDEX(Gruppi_Atleti!$B$2:$B$122,MATCH(B575,Gruppi_Atleti!$A$2:$A$122,0)),"")</f>
        <v/>
      </c>
    </row>
    <row r="576" spans="3:3" x14ac:dyDescent="0.25">
      <c r="C576" t="str">
        <f>IFERROR(INDEX(Gruppi_Atleti!$B$2:$B$122,MATCH(B576,Gruppi_Atleti!$A$2:$A$122,0)),"")</f>
        <v/>
      </c>
    </row>
    <row r="577" spans="3:3" x14ac:dyDescent="0.25">
      <c r="C577" t="str">
        <f>IFERROR(INDEX(Gruppi_Atleti!$B$2:$B$122,MATCH(B577,Gruppi_Atleti!$A$2:$A$122,0)),"")</f>
        <v/>
      </c>
    </row>
    <row r="578" spans="3:3" x14ac:dyDescent="0.25">
      <c r="C578" t="str">
        <f>IFERROR(INDEX(Gruppi_Atleti!$B$2:$B$122,MATCH(B578,Gruppi_Atleti!$A$2:$A$122,0)),"")</f>
        <v/>
      </c>
    </row>
    <row r="579" spans="3:3" x14ac:dyDescent="0.25">
      <c r="C579" t="str">
        <f>IFERROR(INDEX(Gruppi_Atleti!$B$2:$B$122,MATCH(B579,Gruppi_Atleti!$A$2:$A$122,0)),"")</f>
        <v/>
      </c>
    </row>
    <row r="580" spans="3:3" x14ac:dyDescent="0.25">
      <c r="C580" t="str">
        <f>IFERROR(INDEX(Gruppi_Atleti!$B$2:$B$122,MATCH(B580,Gruppi_Atleti!$A$2:$A$122,0)),"")</f>
        <v/>
      </c>
    </row>
    <row r="581" spans="3:3" x14ac:dyDescent="0.25">
      <c r="C581" t="str">
        <f>IFERROR(INDEX(Gruppi_Atleti!$B$2:$B$122,MATCH(B581,Gruppi_Atleti!$A$2:$A$122,0)),"")</f>
        <v/>
      </c>
    </row>
    <row r="582" spans="3:3" x14ac:dyDescent="0.25">
      <c r="C582" t="str">
        <f>IFERROR(INDEX(Gruppi_Atleti!$B$2:$B$122,MATCH(B582,Gruppi_Atleti!$A$2:$A$122,0)),"")</f>
        <v/>
      </c>
    </row>
    <row r="583" spans="3:3" x14ac:dyDescent="0.25">
      <c r="C583" t="str">
        <f>IFERROR(INDEX(Gruppi_Atleti!$B$2:$B$122,MATCH(B583,Gruppi_Atleti!$A$2:$A$122,0)),"")</f>
        <v/>
      </c>
    </row>
    <row r="584" spans="3:3" x14ac:dyDescent="0.25">
      <c r="C584" t="str">
        <f>IFERROR(INDEX(Gruppi_Atleti!$B$2:$B$122,MATCH(B584,Gruppi_Atleti!$A$2:$A$122,0)),"")</f>
        <v/>
      </c>
    </row>
    <row r="585" spans="3:3" x14ac:dyDescent="0.25">
      <c r="C585" t="str">
        <f>IFERROR(INDEX(Gruppi_Atleti!$B$2:$B$122,MATCH(B585,Gruppi_Atleti!$A$2:$A$122,0)),"")</f>
        <v/>
      </c>
    </row>
    <row r="586" spans="3:3" x14ac:dyDescent="0.25">
      <c r="C586" t="str">
        <f>IFERROR(INDEX(Gruppi_Atleti!$B$2:$B$122,MATCH(B586,Gruppi_Atleti!$A$2:$A$122,0)),"")</f>
        <v/>
      </c>
    </row>
    <row r="587" spans="3:3" x14ac:dyDescent="0.25">
      <c r="C587" t="str">
        <f>IFERROR(INDEX(Gruppi_Atleti!$B$2:$B$122,MATCH(B587,Gruppi_Atleti!$A$2:$A$122,0)),"")</f>
        <v/>
      </c>
    </row>
    <row r="588" spans="3:3" x14ac:dyDescent="0.25">
      <c r="C588" t="str">
        <f>IFERROR(INDEX(Gruppi_Atleti!$B$2:$B$122,MATCH(B588,Gruppi_Atleti!$A$2:$A$122,0)),"")</f>
        <v/>
      </c>
    </row>
    <row r="589" spans="3:3" x14ac:dyDescent="0.25">
      <c r="C589" t="str">
        <f>IFERROR(INDEX(Gruppi_Atleti!$B$2:$B$122,MATCH(B589,Gruppi_Atleti!$A$2:$A$122,0)),"")</f>
        <v/>
      </c>
    </row>
    <row r="590" spans="3:3" x14ac:dyDescent="0.25">
      <c r="C590" t="str">
        <f>IFERROR(INDEX(Gruppi_Atleti!$B$2:$B$122,MATCH(B590,Gruppi_Atleti!$A$2:$A$122,0)),"")</f>
        <v/>
      </c>
    </row>
    <row r="591" spans="3:3" x14ac:dyDescent="0.25">
      <c r="C591" t="str">
        <f>IFERROR(INDEX(Gruppi_Atleti!$B$2:$B$122,MATCH(B591,Gruppi_Atleti!$A$2:$A$122,0)),"")</f>
        <v/>
      </c>
    </row>
    <row r="592" spans="3:3" x14ac:dyDescent="0.25">
      <c r="C592" t="str">
        <f>IFERROR(INDEX(Gruppi_Atleti!$B$2:$B$122,MATCH(B592,Gruppi_Atleti!$A$2:$A$122,0)),"")</f>
        <v/>
      </c>
    </row>
    <row r="593" spans="3:3" x14ac:dyDescent="0.25">
      <c r="C593" t="str">
        <f>IFERROR(INDEX(Gruppi_Atleti!$B$2:$B$122,MATCH(B593,Gruppi_Atleti!$A$2:$A$122,0)),"")</f>
        <v/>
      </c>
    </row>
    <row r="594" spans="3:3" x14ac:dyDescent="0.25">
      <c r="C594" t="str">
        <f>IFERROR(INDEX(Gruppi_Atleti!$B$2:$B$122,MATCH(B594,Gruppi_Atleti!$A$2:$A$122,0)),"")</f>
        <v/>
      </c>
    </row>
    <row r="595" spans="3:3" x14ac:dyDescent="0.25">
      <c r="C595" t="str">
        <f>IFERROR(INDEX(Gruppi_Atleti!$B$2:$B$122,MATCH(B595,Gruppi_Atleti!$A$2:$A$122,0)),"")</f>
        <v/>
      </c>
    </row>
    <row r="596" spans="3:3" x14ac:dyDescent="0.25">
      <c r="C596" t="str">
        <f>IFERROR(INDEX(Gruppi_Atleti!$B$2:$B$122,MATCH(B596,Gruppi_Atleti!$A$2:$A$122,0)),"")</f>
        <v/>
      </c>
    </row>
    <row r="597" spans="3:3" x14ac:dyDescent="0.25">
      <c r="C597" t="str">
        <f>IFERROR(INDEX(Gruppi_Atleti!$B$2:$B$122,MATCH(B597,Gruppi_Atleti!$A$2:$A$122,0)),"")</f>
        <v/>
      </c>
    </row>
    <row r="598" spans="3:3" x14ac:dyDescent="0.25">
      <c r="C598" t="str">
        <f>IFERROR(INDEX(Gruppi_Atleti!$B$2:$B$122,MATCH(B598,Gruppi_Atleti!$A$2:$A$122,0)),"")</f>
        <v/>
      </c>
    </row>
    <row r="599" spans="3:3" x14ac:dyDescent="0.25">
      <c r="C599" t="str">
        <f>IFERROR(INDEX(Gruppi_Atleti!$B$2:$B$122,MATCH(B599,Gruppi_Atleti!$A$2:$A$122,0)),"")</f>
        <v/>
      </c>
    </row>
    <row r="600" spans="3:3" x14ac:dyDescent="0.25">
      <c r="C600" t="str">
        <f>IFERROR(INDEX(Gruppi_Atleti!$B$2:$B$122,MATCH(B600,Gruppi_Atleti!$A$2:$A$122,0)),"")</f>
        <v/>
      </c>
    </row>
    <row r="601" spans="3:3" x14ac:dyDescent="0.25">
      <c r="C601" t="str">
        <f>IFERROR(INDEX(Gruppi_Atleti!$B$2:$B$122,MATCH(B601,Gruppi_Atleti!$A$2:$A$122,0)),"")</f>
        <v/>
      </c>
    </row>
    <row r="602" spans="3:3" x14ac:dyDescent="0.25">
      <c r="C602" t="str">
        <f>IFERROR(INDEX(Gruppi_Atleti!$B$2:$B$122,MATCH(B602,Gruppi_Atleti!$A$2:$A$122,0)),"")</f>
        <v/>
      </c>
    </row>
    <row r="603" spans="3:3" x14ac:dyDescent="0.25">
      <c r="C603" t="str">
        <f>IFERROR(INDEX(Gruppi_Atleti!$B$2:$B$122,MATCH(B603,Gruppi_Atleti!$A$2:$A$122,0)),"")</f>
        <v/>
      </c>
    </row>
    <row r="604" spans="3:3" x14ac:dyDescent="0.25">
      <c r="C604" t="str">
        <f>IFERROR(INDEX(Gruppi_Atleti!$B$2:$B$122,MATCH(B604,Gruppi_Atleti!$A$2:$A$122,0)),"")</f>
        <v/>
      </c>
    </row>
    <row r="605" spans="3:3" x14ac:dyDescent="0.25">
      <c r="C605" t="str">
        <f>IFERROR(INDEX(Gruppi_Atleti!$B$2:$B$122,MATCH(B605,Gruppi_Atleti!$A$2:$A$122,0)),"")</f>
        <v/>
      </c>
    </row>
    <row r="606" spans="3:3" x14ac:dyDescent="0.25">
      <c r="C606" t="str">
        <f>IFERROR(INDEX(Gruppi_Atleti!$B$2:$B$122,MATCH(B606,Gruppi_Atleti!$A$2:$A$122,0)),"")</f>
        <v/>
      </c>
    </row>
    <row r="607" spans="3:3" x14ac:dyDescent="0.25">
      <c r="C607" t="str">
        <f>IFERROR(INDEX(Gruppi_Atleti!$B$2:$B$122,MATCH(B607,Gruppi_Atleti!$A$2:$A$122,0)),"")</f>
        <v/>
      </c>
    </row>
    <row r="608" spans="3:3" x14ac:dyDescent="0.25">
      <c r="C608" t="str">
        <f>IFERROR(INDEX(Gruppi_Atleti!$B$2:$B$122,MATCH(B608,Gruppi_Atleti!$A$2:$A$122,0)),"")</f>
        <v/>
      </c>
    </row>
    <row r="609" spans="3:3" x14ac:dyDescent="0.25">
      <c r="C609" t="str">
        <f>IFERROR(INDEX(Gruppi_Atleti!$B$2:$B$122,MATCH(B609,Gruppi_Atleti!$A$2:$A$122,0)),"")</f>
        <v/>
      </c>
    </row>
    <row r="610" spans="3:3" x14ac:dyDescent="0.25">
      <c r="C610" t="str">
        <f>IFERROR(INDEX(Gruppi_Atleti!$B$2:$B$122,MATCH(B610,Gruppi_Atleti!$A$2:$A$122,0)),"")</f>
        <v/>
      </c>
    </row>
    <row r="611" spans="3:3" x14ac:dyDescent="0.25">
      <c r="C611" t="str">
        <f>IFERROR(INDEX(Gruppi_Atleti!$B$2:$B$122,MATCH(B611,Gruppi_Atleti!$A$2:$A$122,0)),"")</f>
        <v/>
      </c>
    </row>
    <row r="612" spans="3:3" x14ac:dyDescent="0.25">
      <c r="C612" t="str">
        <f>IFERROR(INDEX(Gruppi_Atleti!$B$2:$B$122,MATCH(B612,Gruppi_Atleti!$A$2:$A$122,0)),"")</f>
        <v/>
      </c>
    </row>
    <row r="613" spans="3:3" x14ac:dyDescent="0.25">
      <c r="C613" t="str">
        <f>IFERROR(INDEX(Gruppi_Atleti!$B$2:$B$122,MATCH(B613,Gruppi_Atleti!$A$2:$A$122,0)),"")</f>
        <v/>
      </c>
    </row>
    <row r="614" spans="3:3" x14ac:dyDescent="0.25">
      <c r="C614" t="str">
        <f>IFERROR(INDEX(Gruppi_Atleti!$B$2:$B$122,MATCH(B614,Gruppi_Atleti!$A$2:$A$122,0)),"")</f>
        <v/>
      </c>
    </row>
    <row r="615" spans="3:3" x14ac:dyDescent="0.25">
      <c r="C615" t="str">
        <f>IFERROR(INDEX(Gruppi_Atleti!$B$2:$B$122,MATCH(B615,Gruppi_Atleti!$A$2:$A$122,0)),"")</f>
        <v/>
      </c>
    </row>
    <row r="616" spans="3:3" x14ac:dyDescent="0.25">
      <c r="C616" t="str">
        <f>IFERROR(INDEX(Gruppi_Atleti!$B$2:$B$122,MATCH(B616,Gruppi_Atleti!$A$2:$A$122,0)),"")</f>
        <v/>
      </c>
    </row>
    <row r="617" spans="3:3" x14ac:dyDescent="0.25">
      <c r="C617" t="str">
        <f>IFERROR(INDEX(Gruppi_Atleti!$B$2:$B$122,MATCH(B617,Gruppi_Atleti!$A$2:$A$122,0)),"")</f>
        <v/>
      </c>
    </row>
    <row r="618" spans="3:3" x14ac:dyDescent="0.25">
      <c r="C618" t="str">
        <f>IFERROR(INDEX(Gruppi_Atleti!$B$2:$B$122,MATCH(B618,Gruppi_Atleti!$A$2:$A$122,0)),"")</f>
        <v/>
      </c>
    </row>
    <row r="619" spans="3:3" x14ac:dyDescent="0.25">
      <c r="C619" t="str">
        <f>IFERROR(INDEX(Gruppi_Atleti!$B$2:$B$122,MATCH(B619,Gruppi_Atleti!$A$2:$A$122,0)),"")</f>
        <v/>
      </c>
    </row>
    <row r="620" spans="3:3" x14ac:dyDescent="0.25">
      <c r="C620" t="str">
        <f>IFERROR(INDEX(Gruppi_Atleti!$B$2:$B$122,MATCH(B620,Gruppi_Atleti!$A$2:$A$122,0)),"")</f>
        <v/>
      </c>
    </row>
    <row r="621" spans="3:3" x14ac:dyDescent="0.25">
      <c r="C621" t="str">
        <f>IFERROR(INDEX(Gruppi_Atleti!$B$2:$B$122,MATCH(B621,Gruppi_Atleti!$A$2:$A$122,0)),"")</f>
        <v/>
      </c>
    </row>
    <row r="622" spans="3:3" x14ac:dyDescent="0.25">
      <c r="C622" t="str">
        <f>IFERROR(INDEX(Gruppi_Atleti!$B$2:$B$122,MATCH(B622,Gruppi_Atleti!$A$2:$A$122,0)),"")</f>
        <v/>
      </c>
    </row>
    <row r="623" spans="3:3" x14ac:dyDescent="0.25">
      <c r="C623" t="str">
        <f>IFERROR(INDEX(Gruppi_Atleti!$B$2:$B$122,MATCH(B623,Gruppi_Atleti!$A$2:$A$122,0)),"")</f>
        <v/>
      </c>
    </row>
    <row r="624" spans="3:3" x14ac:dyDescent="0.25">
      <c r="C624" t="str">
        <f>IFERROR(INDEX(Gruppi_Atleti!$B$2:$B$122,MATCH(B624,Gruppi_Atleti!$A$2:$A$122,0)),"")</f>
        <v/>
      </c>
    </row>
    <row r="625" spans="3:3" x14ac:dyDescent="0.25">
      <c r="C625" t="str">
        <f>IFERROR(INDEX(Gruppi_Atleti!$B$2:$B$122,MATCH(B625,Gruppi_Atleti!$A$2:$A$122,0)),"")</f>
        <v/>
      </c>
    </row>
    <row r="626" spans="3:3" x14ac:dyDescent="0.25">
      <c r="C626" t="str">
        <f>IFERROR(INDEX(Gruppi_Atleti!$B$2:$B$122,MATCH(B626,Gruppi_Atleti!$A$2:$A$122,0)),"")</f>
        <v/>
      </c>
    </row>
    <row r="627" spans="3:3" x14ac:dyDescent="0.25">
      <c r="C627" t="str">
        <f>IFERROR(INDEX(Gruppi_Atleti!$B$2:$B$122,MATCH(B627,Gruppi_Atleti!$A$2:$A$122,0)),"")</f>
        <v/>
      </c>
    </row>
    <row r="628" spans="3:3" x14ac:dyDescent="0.25">
      <c r="C628" t="str">
        <f>IFERROR(INDEX(Gruppi_Atleti!$B$2:$B$122,MATCH(B628,Gruppi_Atleti!$A$2:$A$122,0)),"")</f>
        <v/>
      </c>
    </row>
    <row r="629" spans="3:3" x14ac:dyDescent="0.25">
      <c r="C629" t="str">
        <f>IFERROR(INDEX(Gruppi_Atleti!$B$2:$B$122,MATCH(B629,Gruppi_Atleti!$A$2:$A$122,0)),"")</f>
        <v/>
      </c>
    </row>
    <row r="630" spans="3:3" x14ac:dyDescent="0.25">
      <c r="C630" t="str">
        <f>IFERROR(INDEX(Gruppi_Atleti!$B$2:$B$122,MATCH(B630,Gruppi_Atleti!$A$2:$A$122,0)),"")</f>
        <v/>
      </c>
    </row>
    <row r="631" spans="3:3" x14ac:dyDescent="0.25">
      <c r="C631" t="str">
        <f>IFERROR(INDEX(Gruppi_Atleti!$B$2:$B$122,MATCH(B631,Gruppi_Atleti!$A$2:$A$122,0)),"")</f>
        <v/>
      </c>
    </row>
    <row r="632" spans="3:3" x14ac:dyDescent="0.25">
      <c r="C632" t="str">
        <f>IFERROR(INDEX(Gruppi_Atleti!$B$2:$B$122,MATCH(B632,Gruppi_Atleti!$A$2:$A$122,0)),"")</f>
        <v/>
      </c>
    </row>
    <row r="633" spans="3:3" x14ac:dyDescent="0.25">
      <c r="C633" t="str">
        <f>IFERROR(INDEX(Gruppi_Atleti!$B$2:$B$122,MATCH(B633,Gruppi_Atleti!$A$2:$A$122,0)),"")</f>
        <v/>
      </c>
    </row>
    <row r="634" spans="3:3" x14ac:dyDescent="0.25">
      <c r="C634" t="str">
        <f>IFERROR(INDEX(Gruppi_Atleti!$B$2:$B$122,MATCH(B634,Gruppi_Atleti!$A$2:$A$122,0)),"")</f>
        <v/>
      </c>
    </row>
    <row r="635" spans="3:3" x14ac:dyDescent="0.25">
      <c r="C635" t="str">
        <f>IFERROR(INDEX(Gruppi_Atleti!$B$2:$B$122,MATCH(B635,Gruppi_Atleti!$A$2:$A$122,0)),"")</f>
        <v/>
      </c>
    </row>
    <row r="636" spans="3:3" x14ac:dyDescent="0.25">
      <c r="C636" t="str">
        <f>IFERROR(INDEX(Gruppi_Atleti!$B$2:$B$122,MATCH(B636,Gruppi_Atleti!$A$2:$A$122,0)),"")</f>
        <v/>
      </c>
    </row>
    <row r="637" spans="3:3" x14ac:dyDescent="0.25">
      <c r="C637" t="str">
        <f>IFERROR(INDEX(Gruppi_Atleti!$B$2:$B$122,MATCH(B637,Gruppi_Atleti!$A$2:$A$122,0)),"")</f>
        <v/>
      </c>
    </row>
    <row r="638" spans="3:3" x14ac:dyDescent="0.25">
      <c r="C638" t="str">
        <f>IFERROR(INDEX(Gruppi_Atleti!$B$2:$B$122,MATCH(B638,Gruppi_Atleti!$A$2:$A$122,0)),"")</f>
        <v/>
      </c>
    </row>
    <row r="639" spans="3:3" x14ac:dyDescent="0.25">
      <c r="C639" t="str">
        <f>IFERROR(INDEX(Gruppi_Atleti!$B$2:$B$122,MATCH(B639,Gruppi_Atleti!$A$2:$A$122,0)),"")</f>
        <v/>
      </c>
    </row>
    <row r="640" spans="3:3" x14ac:dyDescent="0.25">
      <c r="C640" t="str">
        <f>IFERROR(INDEX(Gruppi_Atleti!$B$2:$B$122,MATCH(B640,Gruppi_Atleti!$A$2:$A$122,0)),"")</f>
        <v/>
      </c>
    </row>
    <row r="641" spans="3:3" x14ac:dyDescent="0.25">
      <c r="C641" t="str">
        <f>IFERROR(INDEX(Gruppi_Atleti!$B$2:$B$122,MATCH(B641,Gruppi_Atleti!$A$2:$A$122,0)),"")</f>
        <v/>
      </c>
    </row>
    <row r="642" spans="3:3" x14ac:dyDescent="0.25">
      <c r="C642" t="str">
        <f>IFERROR(INDEX(Gruppi_Atleti!$B$2:$B$122,MATCH(B642,Gruppi_Atleti!$A$2:$A$122,0)),"")</f>
        <v/>
      </c>
    </row>
    <row r="643" spans="3:3" x14ac:dyDescent="0.25">
      <c r="C643" t="str">
        <f>IFERROR(INDEX(Gruppi_Atleti!$B$2:$B$122,MATCH(B643,Gruppi_Atleti!$A$2:$A$122,0)),"")</f>
        <v/>
      </c>
    </row>
    <row r="644" spans="3:3" x14ac:dyDescent="0.25">
      <c r="C644" t="str">
        <f>IFERROR(INDEX(Gruppi_Atleti!$B$2:$B$122,MATCH(B644,Gruppi_Atleti!$A$2:$A$122,0)),"")</f>
        <v/>
      </c>
    </row>
    <row r="645" spans="3:3" x14ac:dyDescent="0.25">
      <c r="C645" t="str">
        <f>IFERROR(INDEX(Gruppi_Atleti!$B$2:$B$122,MATCH(B645,Gruppi_Atleti!$A$2:$A$122,0)),"")</f>
        <v/>
      </c>
    </row>
    <row r="646" spans="3:3" x14ac:dyDescent="0.25">
      <c r="C646" t="str">
        <f>IFERROR(INDEX(Gruppi_Atleti!$B$2:$B$122,MATCH(B646,Gruppi_Atleti!$A$2:$A$122,0)),"")</f>
        <v/>
      </c>
    </row>
    <row r="647" spans="3:3" x14ac:dyDescent="0.25">
      <c r="C647" t="str">
        <f>IFERROR(INDEX(Gruppi_Atleti!$B$2:$B$122,MATCH(B647,Gruppi_Atleti!$A$2:$A$122,0)),"")</f>
        <v/>
      </c>
    </row>
    <row r="648" spans="3:3" x14ac:dyDescent="0.25">
      <c r="C648" t="str">
        <f>IFERROR(INDEX(Gruppi_Atleti!$B$2:$B$122,MATCH(B648,Gruppi_Atleti!$A$2:$A$122,0)),"")</f>
        <v/>
      </c>
    </row>
    <row r="649" spans="3:3" x14ac:dyDescent="0.25">
      <c r="C649" t="str">
        <f>IFERROR(INDEX(Gruppi_Atleti!$B$2:$B$122,MATCH(B649,Gruppi_Atleti!$A$2:$A$122,0)),"")</f>
        <v/>
      </c>
    </row>
    <row r="650" spans="3:3" x14ac:dyDescent="0.25">
      <c r="C650" t="str">
        <f>IFERROR(INDEX(Gruppi_Atleti!$B$2:$B$122,MATCH(B650,Gruppi_Atleti!$A$2:$A$122,0)),"")</f>
        <v/>
      </c>
    </row>
    <row r="651" spans="3:3" x14ac:dyDescent="0.25">
      <c r="C651" t="str">
        <f>IFERROR(INDEX(Gruppi_Atleti!$B$2:$B$122,MATCH(B651,Gruppi_Atleti!$A$2:$A$122,0)),"")</f>
        <v/>
      </c>
    </row>
    <row r="652" spans="3:3" x14ac:dyDescent="0.25">
      <c r="C652" t="str">
        <f>IFERROR(INDEX(Gruppi_Atleti!$B$2:$B$122,MATCH(B652,Gruppi_Atleti!$A$2:$A$122,0)),"")</f>
        <v/>
      </c>
    </row>
    <row r="653" spans="3:3" x14ac:dyDescent="0.25">
      <c r="C653" t="str">
        <f>IFERROR(INDEX(Gruppi_Atleti!$B$2:$B$122,MATCH(B653,Gruppi_Atleti!$A$2:$A$122,0)),"")</f>
        <v/>
      </c>
    </row>
    <row r="654" spans="3:3" x14ac:dyDescent="0.25">
      <c r="C654" t="str">
        <f>IFERROR(INDEX(Gruppi_Atleti!$B$2:$B$122,MATCH(B654,Gruppi_Atleti!$A$2:$A$122,0)),"")</f>
        <v/>
      </c>
    </row>
    <row r="655" spans="3:3" x14ac:dyDescent="0.25">
      <c r="C655" t="str">
        <f>IFERROR(INDEX(Gruppi_Atleti!$B$2:$B$122,MATCH(B655,Gruppi_Atleti!$A$2:$A$122,0)),"")</f>
        <v/>
      </c>
    </row>
    <row r="656" spans="3:3" x14ac:dyDescent="0.25">
      <c r="C656" t="str">
        <f>IFERROR(INDEX(Gruppi_Atleti!$B$2:$B$122,MATCH(B656,Gruppi_Atleti!$A$2:$A$122,0)),"")</f>
        <v/>
      </c>
    </row>
    <row r="657" spans="3:3" x14ac:dyDescent="0.25">
      <c r="C657" t="str">
        <f>IFERROR(INDEX(Gruppi_Atleti!$B$2:$B$122,MATCH(B657,Gruppi_Atleti!$A$2:$A$122,0)),"")</f>
        <v/>
      </c>
    </row>
    <row r="658" spans="3:3" x14ac:dyDescent="0.25">
      <c r="C658" t="str">
        <f>IFERROR(INDEX(Gruppi_Atleti!$B$2:$B$122,MATCH(B658,Gruppi_Atleti!$A$2:$A$122,0)),"")</f>
        <v/>
      </c>
    </row>
    <row r="659" spans="3:3" x14ac:dyDescent="0.25">
      <c r="C659" t="str">
        <f>IFERROR(INDEX(Gruppi_Atleti!$B$2:$B$122,MATCH(B659,Gruppi_Atleti!$A$2:$A$122,0)),"")</f>
        <v/>
      </c>
    </row>
    <row r="660" spans="3:3" x14ac:dyDescent="0.25">
      <c r="C660" t="str">
        <f>IFERROR(INDEX(Gruppi_Atleti!$B$2:$B$122,MATCH(B660,Gruppi_Atleti!$A$2:$A$122,0)),"")</f>
        <v/>
      </c>
    </row>
    <row r="661" spans="3:3" x14ac:dyDescent="0.25">
      <c r="C661" t="str">
        <f>IFERROR(INDEX(Gruppi_Atleti!$B$2:$B$122,MATCH(B661,Gruppi_Atleti!$A$2:$A$122,0)),"")</f>
        <v/>
      </c>
    </row>
    <row r="662" spans="3:3" x14ac:dyDescent="0.25">
      <c r="C662" t="str">
        <f>IFERROR(INDEX(Gruppi_Atleti!$B$2:$B$122,MATCH(B662,Gruppi_Atleti!$A$2:$A$122,0)),"")</f>
        <v/>
      </c>
    </row>
    <row r="663" spans="3:3" x14ac:dyDescent="0.25">
      <c r="C663" t="str">
        <f>IFERROR(INDEX(Gruppi_Atleti!$B$2:$B$122,MATCH(B663,Gruppi_Atleti!$A$2:$A$122,0)),"")</f>
        <v/>
      </c>
    </row>
    <row r="664" spans="3:3" x14ac:dyDescent="0.25">
      <c r="C664" t="str">
        <f>IFERROR(INDEX(Gruppi_Atleti!$B$2:$B$122,MATCH(B664,Gruppi_Atleti!$A$2:$A$122,0)),"")</f>
        <v/>
      </c>
    </row>
    <row r="665" spans="3:3" x14ac:dyDescent="0.25">
      <c r="C665" t="str">
        <f>IFERROR(INDEX(Gruppi_Atleti!$B$2:$B$122,MATCH(B665,Gruppi_Atleti!$A$2:$A$122,0)),"")</f>
        <v/>
      </c>
    </row>
    <row r="666" spans="3:3" x14ac:dyDescent="0.25">
      <c r="C666" t="str">
        <f>IFERROR(INDEX(Gruppi_Atleti!$B$2:$B$122,MATCH(B666,Gruppi_Atleti!$A$2:$A$122,0)),"")</f>
        <v/>
      </c>
    </row>
    <row r="667" spans="3:3" x14ac:dyDescent="0.25">
      <c r="C667" t="str">
        <f>IFERROR(INDEX(Gruppi_Atleti!$B$2:$B$122,MATCH(B667,Gruppi_Atleti!$A$2:$A$122,0)),"")</f>
        <v/>
      </c>
    </row>
    <row r="668" spans="3:3" x14ac:dyDescent="0.25">
      <c r="C668" t="str">
        <f>IFERROR(INDEX(Gruppi_Atleti!$B$2:$B$122,MATCH(B668,Gruppi_Atleti!$A$2:$A$122,0)),"")</f>
        <v/>
      </c>
    </row>
    <row r="669" spans="3:3" x14ac:dyDescent="0.25">
      <c r="C669" t="str">
        <f>IFERROR(INDEX(Gruppi_Atleti!$B$2:$B$122,MATCH(B669,Gruppi_Atleti!$A$2:$A$122,0)),"")</f>
        <v/>
      </c>
    </row>
    <row r="670" spans="3:3" x14ac:dyDescent="0.25">
      <c r="C670" t="str">
        <f>IFERROR(INDEX(Gruppi_Atleti!$B$2:$B$122,MATCH(B670,Gruppi_Atleti!$A$2:$A$122,0)),"")</f>
        <v/>
      </c>
    </row>
    <row r="671" spans="3:3" x14ac:dyDescent="0.25">
      <c r="C671" t="str">
        <f>IFERROR(INDEX(Gruppi_Atleti!$B$2:$B$122,MATCH(B671,Gruppi_Atleti!$A$2:$A$122,0)),"")</f>
        <v/>
      </c>
    </row>
    <row r="672" spans="3:3" x14ac:dyDescent="0.25">
      <c r="C672" t="str">
        <f>IFERROR(INDEX(Gruppi_Atleti!$B$2:$B$122,MATCH(B672,Gruppi_Atleti!$A$2:$A$122,0)),"")</f>
        <v/>
      </c>
    </row>
    <row r="673" spans="3:3" x14ac:dyDescent="0.25">
      <c r="C673" t="str">
        <f>IFERROR(INDEX(Gruppi_Atleti!$B$2:$B$122,MATCH(B673,Gruppi_Atleti!$A$2:$A$122,0)),"")</f>
        <v/>
      </c>
    </row>
    <row r="674" spans="3:3" x14ac:dyDescent="0.25">
      <c r="C674" t="str">
        <f>IFERROR(INDEX(Gruppi_Atleti!$B$2:$B$122,MATCH(B674,Gruppi_Atleti!$A$2:$A$122,0)),"")</f>
        <v/>
      </c>
    </row>
    <row r="675" spans="3:3" x14ac:dyDescent="0.25">
      <c r="C675" t="str">
        <f>IFERROR(INDEX(Gruppi_Atleti!$B$2:$B$122,MATCH(B675,Gruppi_Atleti!$A$2:$A$122,0)),"")</f>
        <v/>
      </c>
    </row>
    <row r="676" spans="3:3" x14ac:dyDescent="0.25">
      <c r="C676" t="str">
        <f>IFERROR(INDEX(Gruppi_Atleti!$B$2:$B$122,MATCH(B676,Gruppi_Atleti!$A$2:$A$122,0)),"")</f>
        <v/>
      </c>
    </row>
    <row r="677" spans="3:3" x14ac:dyDescent="0.25">
      <c r="C677" t="str">
        <f>IFERROR(INDEX(Gruppi_Atleti!$B$2:$B$122,MATCH(B677,Gruppi_Atleti!$A$2:$A$122,0)),"")</f>
        <v/>
      </c>
    </row>
    <row r="678" spans="3:3" x14ac:dyDescent="0.25">
      <c r="C678" t="str">
        <f>IFERROR(INDEX(Gruppi_Atleti!$B$2:$B$122,MATCH(B678,Gruppi_Atleti!$A$2:$A$122,0)),"")</f>
        <v/>
      </c>
    </row>
    <row r="679" spans="3:3" x14ac:dyDescent="0.25">
      <c r="C679" t="str">
        <f>IFERROR(INDEX(Gruppi_Atleti!$B$2:$B$122,MATCH(B679,Gruppi_Atleti!$A$2:$A$122,0)),"")</f>
        <v/>
      </c>
    </row>
    <row r="680" spans="3:3" x14ac:dyDescent="0.25">
      <c r="C680" t="str">
        <f>IFERROR(INDEX(Gruppi_Atleti!$B$2:$B$122,MATCH(B680,Gruppi_Atleti!$A$2:$A$122,0)),"")</f>
        <v/>
      </c>
    </row>
    <row r="681" spans="3:3" x14ac:dyDescent="0.25">
      <c r="C681" t="str">
        <f>IFERROR(INDEX(Gruppi_Atleti!$B$2:$B$122,MATCH(B681,Gruppi_Atleti!$A$2:$A$122,0)),"")</f>
        <v/>
      </c>
    </row>
    <row r="682" spans="3:3" x14ac:dyDescent="0.25">
      <c r="C682" t="str">
        <f>IFERROR(INDEX(Gruppi_Atleti!$B$2:$B$122,MATCH(B682,Gruppi_Atleti!$A$2:$A$122,0)),"")</f>
        <v/>
      </c>
    </row>
    <row r="683" spans="3:3" x14ac:dyDescent="0.25">
      <c r="C683" t="str">
        <f>IFERROR(INDEX(Gruppi_Atleti!$B$2:$B$122,MATCH(B683,Gruppi_Atleti!$A$2:$A$122,0)),"")</f>
        <v/>
      </c>
    </row>
    <row r="684" spans="3:3" x14ac:dyDescent="0.25">
      <c r="C684" t="str">
        <f>IFERROR(INDEX(Gruppi_Atleti!$B$2:$B$122,MATCH(B684,Gruppi_Atleti!$A$2:$A$122,0)),"")</f>
        <v/>
      </c>
    </row>
    <row r="685" spans="3:3" x14ac:dyDescent="0.25">
      <c r="C685" t="str">
        <f>IFERROR(INDEX(Gruppi_Atleti!$B$2:$B$122,MATCH(B685,Gruppi_Atleti!$A$2:$A$122,0)),"")</f>
        <v/>
      </c>
    </row>
    <row r="686" spans="3:3" x14ac:dyDescent="0.25">
      <c r="C686" t="str">
        <f>IFERROR(INDEX(Gruppi_Atleti!$B$2:$B$122,MATCH(B686,Gruppi_Atleti!$A$2:$A$122,0)),"")</f>
        <v/>
      </c>
    </row>
    <row r="687" spans="3:3" x14ac:dyDescent="0.25">
      <c r="C687" t="str">
        <f>IFERROR(INDEX(Gruppi_Atleti!$B$2:$B$122,MATCH(B687,Gruppi_Atleti!$A$2:$A$122,0)),"")</f>
        <v/>
      </c>
    </row>
    <row r="688" spans="3:3" x14ac:dyDescent="0.25">
      <c r="C688" t="str">
        <f>IFERROR(INDEX(Gruppi_Atleti!$B$2:$B$122,MATCH(B688,Gruppi_Atleti!$A$2:$A$122,0)),"")</f>
        <v/>
      </c>
    </row>
    <row r="689" spans="3:3" x14ac:dyDescent="0.25">
      <c r="C689" t="str">
        <f>IFERROR(INDEX(Gruppi_Atleti!$B$2:$B$122,MATCH(B689,Gruppi_Atleti!$A$2:$A$122,0)),"")</f>
        <v/>
      </c>
    </row>
    <row r="690" spans="3:3" x14ac:dyDescent="0.25">
      <c r="C690" t="str">
        <f>IFERROR(INDEX(Gruppi_Atleti!$B$2:$B$122,MATCH(B690,Gruppi_Atleti!$A$2:$A$122,0)),"")</f>
        <v/>
      </c>
    </row>
    <row r="691" spans="3:3" x14ac:dyDescent="0.25">
      <c r="C691" t="str">
        <f>IFERROR(INDEX(Gruppi_Atleti!$B$2:$B$122,MATCH(B691,Gruppi_Atleti!$A$2:$A$122,0)),"")</f>
        <v/>
      </c>
    </row>
    <row r="692" spans="3:3" x14ac:dyDescent="0.25">
      <c r="C692" t="str">
        <f>IFERROR(INDEX(Gruppi_Atleti!$B$2:$B$122,MATCH(B692,Gruppi_Atleti!$A$2:$A$122,0)),"")</f>
        <v/>
      </c>
    </row>
    <row r="693" spans="3:3" x14ac:dyDescent="0.25">
      <c r="C693" t="str">
        <f>IFERROR(INDEX(Gruppi_Atleti!$B$2:$B$122,MATCH(B693,Gruppi_Atleti!$A$2:$A$122,0)),"")</f>
        <v/>
      </c>
    </row>
    <row r="694" spans="3:3" x14ac:dyDescent="0.25">
      <c r="C694" t="str">
        <f>IFERROR(INDEX(Gruppi_Atleti!$B$2:$B$122,MATCH(B694,Gruppi_Atleti!$A$2:$A$122,0)),"")</f>
        <v/>
      </c>
    </row>
    <row r="695" spans="3:3" x14ac:dyDescent="0.25">
      <c r="C695" t="str">
        <f>IFERROR(INDEX(Gruppi_Atleti!$B$2:$B$122,MATCH(B695,Gruppi_Atleti!$A$2:$A$122,0)),"")</f>
        <v/>
      </c>
    </row>
    <row r="696" spans="3:3" x14ac:dyDescent="0.25">
      <c r="C696" t="str">
        <f>IFERROR(INDEX(Gruppi_Atleti!$B$2:$B$122,MATCH(B696,Gruppi_Atleti!$A$2:$A$122,0)),"")</f>
        <v/>
      </c>
    </row>
    <row r="697" spans="3:3" x14ac:dyDescent="0.25">
      <c r="C697" t="str">
        <f>IFERROR(INDEX(Gruppi_Atleti!$B$2:$B$122,MATCH(B697,Gruppi_Atleti!$A$2:$A$122,0)),"")</f>
        <v/>
      </c>
    </row>
    <row r="698" spans="3:3" x14ac:dyDescent="0.25">
      <c r="C698" t="str">
        <f>IFERROR(INDEX(Gruppi_Atleti!$B$2:$B$122,MATCH(B698,Gruppi_Atleti!$A$2:$A$122,0)),"")</f>
        <v/>
      </c>
    </row>
    <row r="699" spans="3:3" x14ac:dyDescent="0.25">
      <c r="C699" t="str">
        <f>IFERROR(INDEX(Gruppi_Atleti!$B$2:$B$122,MATCH(B699,Gruppi_Atleti!$A$2:$A$122,0)),"")</f>
        <v/>
      </c>
    </row>
    <row r="700" spans="3:3" x14ac:dyDescent="0.25">
      <c r="C700" t="str">
        <f>IFERROR(INDEX(Gruppi_Atleti!$B$2:$B$122,MATCH(B700,Gruppi_Atleti!$A$2:$A$122,0)),"")</f>
        <v/>
      </c>
    </row>
    <row r="701" spans="3:3" x14ac:dyDescent="0.25">
      <c r="C701" t="str">
        <f>IFERROR(INDEX(Gruppi_Atleti!$B$2:$B$122,MATCH(B701,Gruppi_Atleti!$A$2:$A$122,0)),"")</f>
        <v/>
      </c>
    </row>
    <row r="702" spans="3:3" x14ac:dyDescent="0.25">
      <c r="C702" t="str">
        <f>IFERROR(INDEX(Gruppi_Atleti!$B$2:$B$122,MATCH(B702,Gruppi_Atleti!$A$2:$A$122,0)),"")</f>
        <v/>
      </c>
    </row>
    <row r="703" spans="3:3" x14ac:dyDescent="0.25">
      <c r="C703" t="str">
        <f>IFERROR(INDEX(Gruppi_Atleti!$B$2:$B$122,MATCH(B703,Gruppi_Atleti!$A$2:$A$122,0)),"")</f>
        <v/>
      </c>
    </row>
    <row r="704" spans="3:3" x14ac:dyDescent="0.25">
      <c r="C704" t="str">
        <f>IFERROR(INDEX(Gruppi_Atleti!$B$2:$B$122,MATCH(B704,Gruppi_Atleti!$A$2:$A$122,0)),"")</f>
        <v/>
      </c>
    </row>
    <row r="705" spans="3:3" x14ac:dyDescent="0.25">
      <c r="C705" t="str">
        <f>IFERROR(INDEX(Gruppi_Atleti!$B$2:$B$122,MATCH(B705,Gruppi_Atleti!$A$2:$A$122,0)),"")</f>
        <v/>
      </c>
    </row>
    <row r="706" spans="3:3" x14ac:dyDescent="0.25">
      <c r="C706" t="str">
        <f>IFERROR(INDEX(Gruppi_Atleti!$B$2:$B$122,MATCH(B706,Gruppi_Atleti!$A$2:$A$122,0)),"")</f>
        <v/>
      </c>
    </row>
    <row r="707" spans="3:3" x14ac:dyDescent="0.25">
      <c r="C707" t="str">
        <f>IFERROR(INDEX(Gruppi_Atleti!$B$2:$B$122,MATCH(B707,Gruppi_Atleti!$A$2:$A$122,0)),"")</f>
        <v/>
      </c>
    </row>
    <row r="708" spans="3:3" x14ac:dyDescent="0.25">
      <c r="C708" t="str">
        <f>IFERROR(INDEX(Gruppi_Atleti!$B$2:$B$122,MATCH(B708,Gruppi_Atleti!$A$2:$A$122,0)),"")</f>
        <v/>
      </c>
    </row>
    <row r="709" spans="3:3" x14ac:dyDescent="0.25">
      <c r="C709" t="str">
        <f>IFERROR(INDEX(Gruppi_Atleti!$B$2:$B$122,MATCH(B709,Gruppi_Atleti!$A$2:$A$122,0)),"")</f>
        <v/>
      </c>
    </row>
    <row r="710" spans="3:3" x14ac:dyDescent="0.25">
      <c r="C710" t="str">
        <f>IFERROR(INDEX(Gruppi_Atleti!$B$2:$B$122,MATCH(B710,Gruppi_Atleti!$A$2:$A$122,0)),"")</f>
        <v/>
      </c>
    </row>
    <row r="711" spans="3:3" x14ac:dyDescent="0.25">
      <c r="C711" t="str">
        <f>IFERROR(INDEX(Gruppi_Atleti!$B$2:$B$122,MATCH(B711,Gruppi_Atleti!$A$2:$A$122,0)),"")</f>
        <v/>
      </c>
    </row>
    <row r="712" spans="3:3" x14ac:dyDescent="0.25">
      <c r="C712" t="str">
        <f>IFERROR(INDEX(Gruppi_Atleti!$B$2:$B$122,MATCH(B712,Gruppi_Atleti!$A$2:$A$122,0)),"")</f>
        <v/>
      </c>
    </row>
    <row r="713" spans="3:3" x14ac:dyDescent="0.25">
      <c r="C713" t="str">
        <f>IFERROR(INDEX(Gruppi_Atleti!$B$2:$B$122,MATCH(B713,Gruppi_Atleti!$A$2:$A$122,0)),"")</f>
        <v/>
      </c>
    </row>
    <row r="714" spans="3:3" x14ac:dyDescent="0.25">
      <c r="C714" t="str">
        <f>IFERROR(INDEX(Gruppi_Atleti!$B$2:$B$122,MATCH(B714,Gruppi_Atleti!$A$2:$A$122,0)),"")</f>
        <v/>
      </c>
    </row>
    <row r="715" spans="3:3" x14ac:dyDescent="0.25">
      <c r="C715" t="str">
        <f>IFERROR(INDEX(Gruppi_Atleti!$B$2:$B$122,MATCH(B715,Gruppi_Atleti!$A$2:$A$122,0)),"")</f>
        <v/>
      </c>
    </row>
    <row r="716" spans="3:3" x14ac:dyDescent="0.25">
      <c r="C716" t="str">
        <f>IFERROR(INDEX(Gruppi_Atleti!$B$2:$B$122,MATCH(B716,Gruppi_Atleti!$A$2:$A$122,0)),"")</f>
        <v/>
      </c>
    </row>
    <row r="717" spans="3:3" x14ac:dyDescent="0.25">
      <c r="C717" t="str">
        <f>IFERROR(INDEX(Gruppi_Atleti!$B$2:$B$122,MATCH(B717,Gruppi_Atleti!$A$2:$A$122,0)),"")</f>
        <v/>
      </c>
    </row>
    <row r="718" spans="3:3" x14ac:dyDescent="0.25">
      <c r="C718" t="str">
        <f>IFERROR(INDEX(Gruppi_Atleti!$B$2:$B$122,MATCH(B718,Gruppi_Atleti!$A$2:$A$122,0)),"")</f>
        <v/>
      </c>
    </row>
    <row r="719" spans="3:3" x14ac:dyDescent="0.25">
      <c r="C719" t="str">
        <f>IFERROR(INDEX(Gruppi_Atleti!$B$2:$B$122,MATCH(B719,Gruppi_Atleti!$A$2:$A$122,0)),"")</f>
        <v/>
      </c>
    </row>
    <row r="720" spans="3:3" x14ac:dyDescent="0.25">
      <c r="C720" t="str">
        <f>IFERROR(INDEX(Gruppi_Atleti!$B$2:$B$122,MATCH(B720,Gruppi_Atleti!$A$2:$A$122,0)),"")</f>
        <v/>
      </c>
    </row>
    <row r="721" spans="3:3" x14ac:dyDescent="0.25">
      <c r="C721" t="str">
        <f>IFERROR(INDEX(Gruppi_Atleti!$B$2:$B$122,MATCH(B721,Gruppi_Atleti!$A$2:$A$122,0)),"")</f>
        <v/>
      </c>
    </row>
    <row r="722" spans="3:3" x14ac:dyDescent="0.25">
      <c r="C722" t="str">
        <f>IFERROR(INDEX(Gruppi_Atleti!$B$2:$B$122,MATCH(B722,Gruppi_Atleti!$A$2:$A$122,0)),"")</f>
        <v/>
      </c>
    </row>
    <row r="723" spans="3:3" x14ac:dyDescent="0.25">
      <c r="C723" t="str">
        <f>IFERROR(INDEX(Gruppi_Atleti!$B$2:$B$122,MATCH(B723,Gruppi_Atleti!$A$2:$A$122,0)),"")</f>
        <v/>
      </c>
    </row>
    <row r="724" spans="3:3" x14ac:dyDescent="0.25">
      <c r="C724" t="str">
        <f>IFERROR(INDEX(Gruppi_Atleti!$B$2:$B$122,MATCH(B724,Gruppi_Atleti!$A$2:$A$122,0)),"")</f>
        <v/>
      </c>
    </row>
    <row r="725" spans="3:3" x14ac:dyDescent="0.25">
      <c r="C725" t="str">
        <f>IFERROR(INDEX(Gruppi_Atleti!$B$2:$B$122,MATCH(B725,Gruppi_Atleti!$A$2:$A$122,0)),"")</f>
        <v/>
      </c>
    </row>
    <row r="726" spans="3:3" x14ac:dyDescent="0.25">
      <c r="C726" t="str">
        <f>IFERROR(INDEX(Gruppi_Atleti!$B$2:$B$122,MATCH(B726,Gruppi_Atleti!$A$2:$A$122,0)),"")</f>
        <v/>
      </c>
    </row>
    <row r="727" spans="3:3" x14ac:dyDescent="0.25">
      <c r="C727" t="str">
        <f>IFERROR(INDEX(Gruppi_Atleti!$B$2:$B$122,MATCH(B727,Gruppi_Atleti!$A$2:$A$122,0)),"")</f>
        <v/>
      </c>
    </row>
    <row r="728" spans="3:3" x14ac:dyDescent="0.25">
      <c r="C728" t="str">
        <f>IFERROR(INDEX(Gruppi_Atleti!$B$2:$B$122,MATCH(B728,Gruppi_Atleti!$A$2:$A$122,0)),"")</f>
        <v/>
      </c>
    </row>
    <row r="729" spans="3:3" x14ac:dyDescent="0.25">
      <c r="C729" t="str">
        <f>IFERROR(INDEX(Gruppi_Atleti!$B$2:$B$122,MATCH(B729,Gruppi_Atleti!$A$2:$A$122,0)),"")</f>
        <v/>
      </c>
    </row>
    <row r="730" spans="3:3" x14ac:dyDescent="0.25">
      <c r="C730" t="str">
        <f>IFERROR(INDEX(Gruppi_Atleti!$B$2:$B$122,MATCH(B730,Gruppi_Atleti!$A$2:$A$122,0)),"")</f>
        <v/>
      </c>
    </row>
    <row r="731" spans="3:3" x14ac:dyDescent="0.25">
      <c r="C731" t="str">
        <f>IFERROR(INDEX(Gruppi_Atleti!$B$2:$B$122,MATCH(B731,Gruppi_Atleti!$A$2:$A$122,0)),"")</f>
        <v/>
      </c>
    </row>
    <row r="732" spans="3:3" x14ac:dyDescent="0.25">
      <c r="C732" t="str">
        <f>IFERROR(INDEX(Gruppi_Atleti!$B$2:$B$122,MATCH(B732,Gruppi_Atleti!$A$2:$A$122,0)),"")</f>
        <v/>
      </c>
    </row>
    <row r="733" spans="3:3" x14ac:dyDescent="0.25">
      <c r="C733" t="str">
        <f>IFERROR(INDEX(Gruppi_Atleti!$B$2:$B$122,MATCH(B733,Gruppi_Atleti!$A$2:$A$122,0)),"")</f>
        <v/>
      </c>
    </row>
    <row r="734" spans="3:3" x14ac:dyDescent="0.25">
      <c r="C734" t="str">
        <f>IFERROR(INDEX(Gruppi_Atleti!$B$2:$B$122,MATCH(B734,Gruppi_Atleti!$A$2:$A$122,0)),"")</f>
        <v/>
      </c>
    </row>
    <row r="735" spans="3:3" x14ac:dyDescent="0.25">
      <c r="C735" t="str">
        <f>IFERROR(INDEX(Gruppi_Atleti!$B$2:$B$122,MATCH(B735,Gruppi_Atleti!$A$2:$A$122,0)),"")</f>
        <v/>
      </c>
    </row>
    <row r="736" spans="3:3" x14ac:dyDescent="0.25">
      <c r="C736" t="str">
        <f>IFERROR(INDEX(Gruppi_Atleti!$B$2:$B$122,MATCH(B736,Gruppi_Atleti!$A$2:$A$122,0)),"")</f>
        <v/>
      </c>
    </row>
    <row r="737" spans="3:3" x14ac:dyDescent="0.25">
      <c r="C737" t="str">
        <f>IFERROR(INDEX(Gruppi_Atleti!$B$2:$B$122,MATCH(B737,Gruppi_Atleti!$A$2:$A$122,0)),"")</f>
        <v/>
      </c>
    </row>
    <row r="738" spans="3:3" x14ac:dyDescent="0.25">
      <c r="C738" t="str">
        <f>IFERROR(INDEX(Gruppi_Atleti!$B$2:$B$122,MATCH(B738,Gruppi_Atleti!$A$2:$A$122,0)),"")</f>
        <v/>
      </c>
    </row>
    <row r="739" spans="3:3" x14ac:dyDescent="0.25">
      <c r="C739" t="str">
        <f>IFERROR(INDEX(Gruppi_Atleti!$B$2:$B$122,MATCH(B739,Gruppi_Atleti!$A$2:$A$122,0)),"")</f>
        <v/>
      </c>
    </row>
    <row r="740" spans="3:3" x14ac:dyDescent="0.25">
      <c r="C740" t="str">
        <f>IFERROR(INDEX(Gruppi_Atleti!$B$2:$B$122,MATCH(B740,Gruppi_Atleti!$A$2:$A$122,0)),"")</f>
        <v/>
      </c>
    </row>
    <row r="741" spans="3:3" x14ac:dyDescent="0.25">
      <c r="C741" t="str">
        <f>IFERROR(INDEX(Gruppi_Atleti!$B$2:$B$122,MATCH(B741,Gruppi_Atleti!$A$2:$A$122,0)),"")</f>
        <v/>
      </c>
    </row>
    <row r="742" spans="3:3" x14ac:dyDescent="0.25">
      <c r="C742" t="str">
        <f>IFERROR(INDEX(Gruppi_Atleti!$B$2:$B$122,MATCH(B742,Gruppi_Atleti!$A$2:$A$122,0)),"")</f>
        <v/>
      </c>
    </row>
    <row r="743" spans="3:3" x14ac:dyDescent="0.25">
      <c r="C743" t="str">
        <f>IFERROR(INDEX(Gruppi_Atleti!$B$2:$B$122,MATCH(B743,Gruppi_Atleti!$A$2:$A$122,0)),"")</f>
        <v/>
      </c>
    </row>
    <row r="744" spans="3:3" x14ac:dyDescent="0.25">
      <c r="C744" t="str">
        <f>IFERROR(INDEX(Gruppi_Atleti!$B$2:$B$122,MATCH(B744,Gruppi_Atleti!$A$2:$A$122,0)),"")</f>
        <v/>
      </c>
    </row>
    <row r="745" spans="3:3" x14ac:dyDescent="0.25">
      <c r="C745" t="str">
        <f>IFERROR(INDEX(Gruppi_Atleti!$B$2:$B$122,MATCH(B745,Gruppi_Atleti!$A$2:$A$122,0)),"")</f>
        <v/>
      </c>
    </row>
    <row r="746" spans="3:3" x14ac:dyDescent="0.25">
      <c r="C746" t="str">
        <f>IFERROR(INDEX(Gruppi_Atleti!$B$2:$B$122,MATCH(B746,Gruppi_Atleti!$A$2:$A$122,0)),"")</f>
        <v/>
      </c>
    </row>
    <row r="747" spans="3:3" x14ac:dyDescent="0.25">
      <c r="C747" t="str">
        <f>IFERROR(INDEX(Gruppi_Atleti!$B$2:$B$122,MATCH(B747,Gruppi_Atleti!$A$2:$A$122,0)),"")</f>
        <v/>
      </c>
    </row>
    <row r="748" spans="3:3" x14ac:dyDescent="0.25">
      <c r="C748" t="str">
        <f>IFERROR(INDEX(Gruppi_Atleti!$B$2:$B$122,MATCH(B748,Gruppi_Atleti!$A$2:$A$122,0)),"")</f>
        <v/>
      </c>
    </row>
    <row r="749" spans="3:3" x14ac:dyDescent="0.25">
      <c r="C749" t="str">
        <f>IFERROR(INDEX(Gruppi_Atleti!$B$2:$B$122,MATCH(B749,Gruppi_Atleti!$A$2:$A$122,0)),"")</f>
        <v/>
      </c>
    </row>
    <row r="750" spans="3:3" x14ac:dyDescent="0.25">
      <c r="C750" t="str">
        <f>IFERROR(INDEX(Gruppi_Atleti!$B$2:$B$122,MATCH(B750,Gruppi_Atleti!$A$2:$A$122,0)),"")</f>
        <v/>
      </c>
    </row>
    <row r="751" spans="3:3" x14ac:dyDescent="0.25">
      <c r="C751" t="str">
        <f>IFERROR(INDEX(Gruppi_Atleti!$B$2:$B$122,MATCH(B751,Gruppi_Atleti!$A$2:$A$122,0)),"")</f>
        <v/>
      </c>
    </row>
    <row r="752" spans="3:3" x14ac:dyDescent="0.25">
      <c r="C752" t="str">
        <f>IFERROR(INDEX(Gruppi_Atleti!$B$2:$B$122,MATCH(B752,Gruppi_Atleti!$A$2:$A$122,0)),"")</f>
        <v/>
      </c>
    </row>
    <row r="753" spans="3:3" x14ac:dyDescent="0.25">
      <c r="C753" t="str">
        <f>IFERROR(INDEX(Gruppi_Atleti!$B$2:$B$122,MATCH(B753,Gruppi_Atleti!$A$2:$A$122,0)),"")</f>
        <v/>
      </c>
    </row>
    <row r="754" spans="3:3" x14ac:dyDescent="0.25">
      <c r="C754" t="str">
        <f>IFERROR(INDEX(Gruppi_Atleti!$B$2:$B$122,MATCH(B754,Gruppi_Atleti!$A$2:$A$122,0)),"")</f>
        <v/>
      </c>
    </row>
    <row r="755" spans="3:3" x14ac:dyDescent="0.25">
      <c r="C755" t="str">
        <f>IFERROR(INDEX(Gruppi_Atleti!$B$2:$B$122,MATCH(B755,Gruppi_Atleti!$A$2:$A$122,0)),"")</f>
        <v/>
      </c>
    </row>
    <row r="756" spans="3:3" x14ac:dyDescent="0.25">
      <c r="C756" t="str">
        <f>IFERROR(INDEX(Gruppi_Atleti!$B$2:$B$122,MATCH(B756,Gruppi_Atleti!$A$2:$A$122,0)),"")</f>
        <v/>
      </c>
    </row>
    <row r="757" spans="3:3" x14ac:dyDescent="0.25">
      <c r="C757" t="str">
        <f>IFERROR(INDEX(Gruppi_Atleti!$B$2:$B$122,MATCH(B757,Gruppi_Atleti!$A$2:$A$122,0)),"")</f>
        <v/>
      </c>
    </row>
    <row r="758" spans="3:3" x14ac:dyDescent="0.25">
      <c r="C758" t="str">
        <f>IFERROR(INDEX(Gruppi_Atleti!$B$2:$B$122,MATCH(B758,Gruppi_Atleti!$A$2:$A$122,0)),"")</f>
        <v/>
      </c>
    </row>
    <row r="759" spans="3:3" x14ac:dyDescent="0.25">
      <c r="C759" t="str">
        <f>IFERROR(INDEX(Gruppi_Atleti!$B$2:$B$122,MATCH(B759,Gruppi_Atleti!$A$2:$A$122,0)),"")</f>
        <v/>
      </c>
    </row>
    <row r="760" spans="3:3" x14ac:dyDescent="0.25">
      <c r="C760" t="str">
        <f>IFERROR(INDEX(Gruppi_Atleti!$B$2:$B$122,MATCH(B760,Gruppi_Atleti!$A$2:$A$122,0)),"")</f>
        <v/>
      </c>
    </row>
    <row r="761" spans="3:3" x14ac:dyDescent="0.25">
      <c r="C761" t="str">
        <f>IFERROR(INDEX(Gruppi_Atleti!$B$2:$B$122,MATCH(B761,Gruppi_Atleti!$A$2:$A$122,0)),"")</f>
        <v/>
      </c>
    </row>
    <row r="762" spans="3:3" x14ac:dyDescent="0.25">
      <c r="C762" t="str">
        <f>IFERROR(INDEX(Gruppi_Atleti!$B$2:$B$122,MATCH(B762,Gruppi_Atleti!$A$2:$A$122,0)),"")</f>
        <v/>
      </c>
    </row>
    <row r="763" spans="3:3" x14ac:dyDescent="0.25">
      <c r="C763" t="str">
        <f>IFERROR(INDEX(Gruppi_Atleti!$B$2:$B$122,MATCH(B763,Gruppi_Atleti!$A$2:$A$122,0)),"")</f>
        <v/>
      </c>
    </row>
    <row r="764" spans="3:3" x14ac:dyDescent="0.25">
      <c r="C764" t="str">
        <f>IFERROR(INDEX(Gruppi_Atleti!$B$2:$B$122,MATCH(B764,Gruppi_Atleti!$A$2:$A$122,0)),"")</f>
        <v/>
      </c>
    </row>
    <row r="765" spans="3:3" x14ac:dyDescent="0.25">
      <c r="C765" t="str">
        <f>IFERROR(INDEX(Gruppi_Atleti!$B$2:$B$122,MATCH(B765,Gruppi_Atleti!$A$2:$A$122,0)),"")</f>
        <v/>
      </c>
    </row>
    <row r="766" spans="3:3" x14ac:dyDescent="0.25">
      <c r="C766" t="str">
        <f>IFERROR(INDEX(Gruppi_Atleti!$B$2:$B$122,MATCH(B766,Gruppi_Atleti!$A$2:$A$122,0)),"")</f>
        <v/>
      </c>
    </row>
    <row r="767" spans="3:3" x14ac:dyDescent="0.25">
      <c r="C767" t="str">
        <f>IFERROR(INDEX(Gruppi_Atleti!$B$2:$B$122,MATCH(B767,Gruppi_Atleti!$A$2:$A$122,0)),"")</f>
        <v/>
      </c>
    </row>
    <row r="768" spans="3:3" x14ac:dyDescent="0.25">
      <c r="C768" t="str">
        <f>IFERROR(INDEX(Gruppi_Atleti!$B$2:$B$122,MATCH(B768,Gruppi_Atleti!$A$2:$A$122,0)),"")</f>
        <v/>
      </c>
    </row>
    <row r="769" spans="3:3" x14ac:dyDescent="0.25">
      <c r="C769" t="str">
        <f>IFERROR(INDEX(Gruppi_Atleti!$B$2:$B$122,MATCH(B769,Gruppi_Atleti!$A$2:$A$122,0)),"")</f>
        <v/>
      </c>
    </row>
    <row r="770" spans="3:3" x14ac:dyDescent="0.25">
      <c r="C770" t="str">
        <f>IFERROR(INDEX(Gruppi_Atleti!$B$2:$B$122,MATCH(B770,Gruppi_Atleti!$A$2:$A$122,0)),"")</f>
        <v/>
      </c>
    </row>
    <row r="771" spans="3:3" x14ac:dyDescent="0.25">
      <c r="C771" t="str">
        <f>IFERROR(INDEX(Gruppi_Atleti!$B$2:$B$122,MATCH(B771,Gruppi_Atleti!$A$2:$A$122,0)),"")</f>
        <v/>
      </c>
    </row>
    <row r="772" spans="3:3" x14ac:dyDescent="0.25">
      <c r="C772" t="str">
        <f>IFERROR(INDEX(Gruppi_Atleti!$B$2:$B$122,MATCH(B772,Gruppi_Atleti!$A$2:$A$122,0)),"")</f>
        <v/>
      </c>
    </row>
    <row r="773" spans="3:3" x14ac:dyDescent="0.25">
      <c r="C773" t="str">
        <f>IFERROR(INDEX(Gruppi_Atleti!$B$2:$B$122,MATCH(B773,Gruppi_Atleti!$A$2:$A$122,0)),"")</f>
        <v/>
      </c>
    </row>
    <row r="774" spans="3:3" x14ac:dyDescent="0.25">
      <c r="C774" t="str">
        <f>IFERROR(INDEX(Gruppi_Atleti!$B$2:$B$122,MATCH(B774,Gruppi_Atleti!$A$2:$A$122,0)),"")</f>
        <v/>
      </c>
    </row>
    <row r="775" spans="3:3" x14ac:dyDescent="0.25">
      <c r="C775" t="str">
        <f>IFERROR(INDEX(Gruppi_Atleti!$B$2:$B$122,MATCH(B775,Gruppi_Atleti!$A$2:$A$122,0)),"")</f>
        <v/>
      </c>
    </row>
    <row r="776" spans="3:3" x14ac:dyDescent="0.25">
      <c r="C776" t="str">
        <f>IFERROR(INDEX(Gruppi_Atleti!$B$2:$B$122,MATCH(B776,Gruppi_Atleti!$A$2:$A$122,0)),"")</f>
        <v/>
      </c>
    </row>
    <row r="777" spans="3:3" x14ac:dyDescent="0.25">
      <c r="C777" t="str">
        <f>IFERROR(INDEX(Gruppi_Atleti!$B$2:$B$122,MATCH(B777,Gruppi_Atleti!$A$2:$A$122,0)),"")</f>
        <v/>
      </c>
    </row>
    <row r="778" spans="3:3" x14ac:dyDescent="0.25">
      <c r="C778" t="str">
        <f>IFERROR(INDEX(Gruppi_Atleti!$B$2:$B$122,MATCH(B778,Gruppi_Atleti!$A$2:$A$122,0)),"")</f>
        <v/>
      </c>
    </row>
    <row r="779" spans="3:3" x14ac:dyDescent="0.25">
      <c r="C779" t="str">
        <f>IFERROR(INDEX(Gruppi_Atleti!$B$2:$B$122,MATCH(B779,Gruppi_Atleti!$A$2:$A$122,0)),"")</f>
        <v/>
      </c>
    </row>
    <row r="780" spans="3:3" x14ac:dyDescent="0.25">
      <c r="C780" t="str">
        <f>IFERROR(INDEX(Gruppi_Atleti!$B$2:$B$122,MATCH(B780,Gruppi_Atleti!$A$2:$A$122,0)),"")</f>
        <v/>
      </c>
    </row>
    <row r="781" spans="3:3" x14ac:dyDescent="0.25">
      <c r="C781" t="str">
        <f>IFERROR(INDEX(Gruppi_Atleti!$B$2:$B$122,MATCH(B781,Gruppi_Atleti!$A$2:$A$122,0)),"")</f>
        <v/>
      </c>
    </row>
    <row r="782" spans="3:3" x14ac:dyDescent="0.25">
      <c r="C782" t="str">
        <f>IFERROR(INDEX(Gruppi_Atleti!$B$2:$B$122,MATCH(B782,Gruppi_Atleti!$A$2:$A$122,0)),"")</f>
        <v/>
      </c>
    </row>
    <row r="783" spans="3:3" x14ac:dyDescent="0.25">
      <c r="C783" t="str">
        <f>IFERROR(INDEX(Gruppi_Atleti!$B$2:$B$122,MATCH(B783,Gruppi_Atleti!$A$2:$A$122,0)),"")</f>
        <v/>
      </c>
    </row>
    <row r="784" spans="3:3" x14ac:dyDescent="0.25">
      <c r="C784" t="str">
        <f>IFERROR(INDEX(Gruppi_Atleti!$B$2:$B$122,MATCH(B784,Gruppi_Atleti!$A$2:$A$122,0)),"")</f>
        <v/>
      </c>
    </row>
    <row r="785" spans="3:3" x14ac:dyDescent="0.25">
      <c r="C785" t="str">
        <f>IFERROR(INDEX(Gruppi_Atleti!$B$2:$B$122,MATCH(B785,Gruppi_Atleti!$A$2:$A$122,0)),"")</f>
        <v/>
      </c>
    </row>
    <row r="786" spans="3:3" x14ac:dyDescent="0.25">
      <c r="C786" t="str">
        <f>IFERROR(INDEX(Gruppi_Atleti!$B$2:$B$122,MATCH(B786,Gruppi_Atleti!$A$2:$A$122,0)),"")</f>
        <v/>
      </c>
    </row>
    <row r="787" spans="3:3" x14ac:dyDescent="0.25">
      <c r="C787" t="str">
        <f>IFERROR(INDEX(Gruppi_Atleti!$B$2:$B$122,MATCH(B787,Gruppi_Atleti!$A$2:$A$122,0)),"")</f>
        <v/>
      </c>
    </row>
    <row r="788" spans="3:3" x14ac:dyDescent="0.25">
      <c r="C788" t="str">
        <f>IFERROR(INDEX(Gruppi_Atleti!$B$2:$B$122,MATCH(B788,Gruppi_Atleti!$A$2:$A$122,0)),"")</f>
        <v/>
      </c>
    </row>
    <row r="789" spans="3:3" x14ac:dyDescent="0.25">
      <c r="C789" t="str">
        <f>IFERROR(INDEX(Gruppi_Atleti!$B$2:$B$122,MATCH(B789,Gruppi_Atleti!$A$2:$A$122,0)),"")</f>
        <v/>
      </c>
    </row>
    <row r="790" spans="3:3" x14ac:dyDescent="0.25">
      <c r="C790" t="str">
        <f>IFERROR(INDEX(Gruppi_Atleti!$B$2:$B$122,MATCH(B790,Gruppi_Atleti!$A$2:$A$122,0)),"")</f>
        <v/>
      </c>
    </row>
    <row r="791" spans="3:3" x14ac:dyDescent="0.25">
      <c r="C791" t="str">
        <f>IFERROR(INDEX(Gruppi_Atleti!$B$2:$B$122,MATCH(B791,Gruppi_Atleti!$A$2:$A$122,0)),"")</f>
        <v/>
      </c>
    </row>
    <row r="792" spans="3:3" x14ac:dyDescent="0.25">
      <c r="C792" t="str">
        <f>IFERROR(INDEX(Gruppi_Atleti!$B$2:$B$122,MATCH(B792,Gruppi_Atleti!$A$2:$A$122,0)),"")</f>
        <v/>
      </c>
    </row>
    <row r="793" spans="3:3" x14ac:dyDescent="0.25">
      <c r="C793" t="str">
        <f>IFERROR(INDEX(Gruppi_Atleti!$B$2:$B$122,MATCH(B793,Gruppi_Atleti!$A$2:$A$122,0)),"")</f>
        <v/>
      </c>
    </row>
    <row r="794" spans="3:3" x14ac:dyDescent="0.25">
      <c r="C794" t="str">
        <f>IFERROR(INDEX(Gruppi_Atleti!$B$2:$B$122,MATCH(B794,Gruppi_Atleti!$A$2:$A$122,0)),"")</f>
        <v/>
      </c>
    </row>
    <row r="795" spans="3:3" x14ac:dyDescent="0.25">
      <c r="C795" t="str">
        <f>IFERROR(INDEX(Gruppi_Atleti!$B$2:$B$122,MATCH(B795,Gruppi_Atleti!$A$2:$A$122,0)),"")</f>
        <v/>
      </c>
    </row>
    <row r="796" spans="3:3" x14ac:dyDescent="0.25">
      <c r="C796" t="str">
        <f>IFERROR(INDEX(Gruppi_Atleti!$B$2:$B$122,MATCH(B796,Gruppi_Atleti!$A$2:$A$122,0)),"")</f>
        <v/>
      </c>
    </row>
    <row r="797" spans="3:3" x14ac:dyDescent="0.25">
      <c r="C797" t="str">
        <f>IFERROR(INDEX(Gruppi_Atleti!$B$2:$B$122,MATCH(B797,Gruppi_Atleti!$A$2:$A$122,0)),"")</f>
        <v/>
      </c>
    </row>
    <row r="798" spans="3:3" x14ac:dyDescent="0.25">
      <c r="C798" t="str">
        <f>IFERROR(INDEX(Gruppi_Atleti!$B$2:$B$122,MATCH(B798,Gruppi_Atleti!$A$2:$A$122,0)),"")</f>
        <v/>
      </c>
    </row>
    <row r="799" spans="3:3" x14ac:dyDescent="0.25">
      <c r="C799" t="str">
        <f>IFERROR(INDEX(Gruppi_Atleti!$B$2:$B$122,MATCH(B799,Gruppi_Atleti!$A$2:$A$122,0)),"")</f>
        <v/>
      </c>
    </row>
    <row r="800" spans="3:3" x14ac:dyDescent="0.25">
      <c r="C800" t="str">
        <f>IFERROR(INDEX(Gruppi_Atleti!$B$2:$B$122,MATCH(B800,Gruppi_Atleti!$A$2:$A$122,0)),"")</f>
        <v/>
      </c>
    </row>
    <row r="801" spans="3:3" x14ac:dyDescent="0.25">
      <c r="C801" t="str">
        <f>IFERROR(INDEX(Gruppi_Atleti!$B$2:$B$122,MATCH(B801,Gruppi_Atleti!$A$2:$A$122,0)),"")</f>
        <v/>
      </c>
    </row>
    <row r="802" spans="3:3" x14ac:dyDescent="0.25">
      <c r="C802" t="str">
        <f>IFERROR(INDEX(Gruppi_Atleti!$B$2:$B$122,MATCH(B802,Gruppi_Atleti!$A$2:$A$122,0)),"")</f>
        <v/>
      </c>
    </row>
    <row r="803" spans="3:3" x14ac:dyDescent="0.25">
      <c r="C803" t="str">
        <f>IFERROR(INDEX(Gruppi_Atleti!$B$2:$B$122,MATCH(B803,Gruppi_Atleti!$A$2:$A$122,0)),"")</f>
        <v/>
      </c>
    </row>
    <row r="804" spans="3:3" x14ac:dyDescent="0.25">
      <c r="C804" t="str">
        <f>IFERROR(INDEX(Gruppi_Atleti!$B$2:$B$122,MATCH(B804,Gruppi_Atleti!$A$2:$A$122,0)),"")</f>
        <v/>
      </c>
    </row>
    <row r="805" spans="3:3" x14ac:dyDescent="0.25">
      <c r="C805" t="str">
        <f>IFERROR(INDEX(Gruppi_Atleti!$B$2:$B$122,MATCH(B805,Gruppi_Atleti!$A$2:$A$122,0)),"")</f>
        <v/>
      </c>
    </row>
    <row r="806" spans="3:3" x14ac:dyDescent="0.25">
      <c r="C806" t="str">
        <f>IFERROR(INDEX(Gruppi_Atleti!$B$2:$B$122,MATCH(B806,Gruppi_Atleti!$A$2:$A$122,0)),"")</f>
        <v/>
      </c>
    </row>
    <row r="807" spans="3:3" x14ac:dyDescent="0.25">
      <c r="C807" t="str">
        <f>IFERROR(INDEX(Gruppi_Atleti!$B$2:$B$122,MATCH(B807,Gruppi_Atleti!$A$2:$A$122,0)),"")</f>
        <v/>
      </c>
    </row>
    <row r="808" spans="3:3" x14ac:dyDescent="0.25">
      <c r="C808" t="str">
        <f>IFERROR(INDEX(Gruppi_Atleti!$B$2:$B$122,MATCH(B808,Gruppi_Atleti!$A$2:$A$122,0)),"")</f>
        <v/>
      </c>
    </row>
    <row r="809" spans="3:3" x14ac:dyDescent="0.25">
      <c r="C809" t="str">
        <f>IFERROR(INDEX(Gruppi_Atleti!$B$2:$B$122,MATCH(B809,Gruppi_Atleti!$A$2:$A$122,0)),"")</f>
        <v/>
      </c>
    </row>
    <row r="810" spans="3:3" x14ac:dyDescent="0.25">
      <c r="C810" t="str">
        <f>IFERROR(INDEX(Gruppi_Atleti!$B$2:$B$122,MATCH(B810,Gruppi_Atleti!$A$2:$A$122,0)),"")</f>
        <v/>
      </c>
    </row>
    <row r="811" spans="3:3" x14ac:dyDescent="0.25">
      <c r="C811" t="str">
        <f>IFERROR(INDEX(Gruppi_Atleti!$B$2:$B$122,MATCH(B811,Gruppi_Atleti!$A$2:$A$122,0)),"")</f>
        <v/>
      </c>
    </row>
    <row r="812" spans="3:3" x14ac:dyDescent="0.25">
      <c r="C812" t="str">
        <f>IFERROR(INDEX(Gruppi_Atleti!$B$2:$B$122,MATCH(B812,Gruppi_Atleti!$A$2:$A$122,0)),"")</f>
        <v/>
      </c>
    </row>
    <row r="813" spans="3:3" x14ac:dyDescent="0.25">
      <c r="C813" t="str">
        <f>IFERROR(INDEX(Gruppi_Atleti!$B$2:$B$122,MATCH(B813,Gruppi_Atleti!$A$2:$A$122,0)),"")</f>
        <v/>
      </c>
    </row>
    <row r="814" spans="3:3" x14ac:dyDescent="0.25">
      <c r="C814" t="str">
        <f>IFERROR(INDEX(Gruppi_Atleti!$B$2:$B$122,MATCH(B814,Gruppi_Atleti!$A$2:$A$122,0)),"")</f>
        <v/>
      </c>
    </row>
    <row r="815" spans="3:3" x14ac:dyDescent="0.25">
      <c r="C815" t="str">
        <f>IFERROR(INDEX(Gruppi_Atleti!$B$2:$B$122,MATCH(B815,Gruppi_Atleti!$A$2:$A$122,0)),"")</f>
        <v/>
      </c>
    </row>
    <row r="816" spans="3:3" x14ac:dyDescent="0.25">
      <c r="C816" t="str">
        <f>IFERROR(INDEX(Gruppi_Atleti!$B$2:$B$122,MATCH(B816,Gruppi_Atleti!$A$2:$A$122,0)),"")</f>
        <v/>
      </c>
    </row>
    <row r="817" spans="3:3" x14ac:dyDescent="0.25">
      <c r="C817" t="str">
        <f>IFERROR(INDEX(Gruppi_Atleti!$B$2:$B$122,MATCH(B817,Gruppi_Atleti!$A$2:$A$122,0)),"")</f>
        <v/>
      </c>
    </row>
    <row r="818" spans="3:3" x14ac:dyDescent="0.25">
      <c r="C818" t="str">
        <f>IFERROR(INDEX(Gruppi_Atleti!$B$2:$B$122,MATCH(B818,Gruppi_Atleti!$A$2:$A$122,0)),"")</f>
        <v/>
      </c>
    </row>
    <row r="819" spans="3:3" x14ac:dyDescent="0.25">
      <c r="C819" t="str">
        <f>IFERROR(INDEX(Gruppi_Atleti!$B$2:$B$122,MATCH(B819,Gruppi_Atleti!$A$2:$A$122,0)),"")</f>
        <v/>
      </c>
    </row>
    <row r="820" spans="3:3" x14ac:dyDescent="0.25">
      <c r="C820" t="str">
        <f>IFERROR(INDEX(Gruppi_Atleti!$B$2:$B$122,MATCH(B820,Gruppi_Atleti!$A$2:$A$122,0)),"")</f>
        <v/>
      </c>
    </row>
    <row r="821" spans="3:3" x14ac:dyDescent="0.25">
      <c r="C821" t="str">
        <f>IFERROR(INDEX(Gruppi_Atleti!$B$2:$B$122,MATCH(B821,Gruppi_Atleti!$A$2:$A$122,0)),"")</f>
        <v/>
      </c>
    </row>
    <row r="822" spans="3:3" x14ac:dyDescent="0.25">
      <c r="C822" t="str">
        <f>IFERROR(INDEX(Gruppi_Atleti!$B$2:$B$122,MATCH(B822,Gruppi_Atleti!$A$2:$A$122,0)),"")</f>
        <v/>
      </c>
    </row>
    <row r="823" spans="3:3" x14ac:dyDescent="0.25">
      <c r="C823" t="str">
        <f>IFERROR(INDEX(Gruppi_Atleti!$B$2:$B$122,MATCH(B823,Gruppi_Atleti!$A$2:$A$122,0)),"")</f>
        <v/>
      </c>
    </row>
    <row r="824" spans="3:3" x14ac:dyDescent="0.25">
      <c r="C824" t="str">
        <f>IFERROR(INDEX(Gruppi_Atleti!$B$2:$B$122,MATCH(B824,Gruppi_Atleti!$A$2:$A$122,0)),"")</f>
        <v/>
      </c>
    </row>
    <row r="825" spans="3:3" x14ac:dyDescent="0.25">
      <c r="C825" t="str">
        <f>IFERROR(INDEX(Gruppi_Atleti!$B$2:$B$122,MATCH(B825,Gruppi_Atleti!$A$2:$A$122,0)),"")</f>
        <v/>
      </c>
    </row>
    <row r="826" spans="3:3" x14ac:dyDescent="0.25">
      <c r="C826" t="str">
        <f>IFERROR(INDEX(Gruppi_Atleti!$B$2:$B$122,MATCH(B826,Gruppi_Atleti!$A$2:$A$122,0)),"")</f>
        <v/>
      </c>
    </row>
    <row r="827" spans="3:3" x14ac:dyDescent="0.25">
      <c r="C827" t="str">
        <f>IFERROR(INDEX(Gruppi_Atleti!$B$2:$B$122,MATCH(B827,Gruppi_Atleti!$A$2:$A$122,0)),"")</f>
        <v/>
      </c>
    </row>
    <row r="828" spans="3:3" x14ac:dyDescent="0.25">
      <c r="C828" t="str">
        <f>IFERROR(INDEX(Gruppi_Atleti!$B$2:$B$122,MATCH(B828,Gruppi_Atleti!$A$2:$A$122,0)),"")</f>
        <v/>
      </c>
    </row>
    <row r="829" spans="3:3" x14ac:dyDescent="0.25">
      <c r="C829" t="str">
        <f>IFERROR(INDEX(Gruppi_Atleti!$B$2:$B$122,MATCH(B829,Gruppi_Atleti!$A$2:$A$122,0)),"")</f>
        <v/>
      </c>
    </row>
    <row r="830" spans="3:3" x14ac:dyDescent="0.25">
      <c r="C830" t="str">
        <f>IFERROR(INDEX(Gruppi_Atleti!$B$2:$B$122,MATCH(B830,Gruppi_Atleti!$A$2:$A$122,0)),"")</f>
        <v/>
      </c>
    </row>
    <row r="831" spans="3:3" x14ac:dyDescent="0.25">
      <c r="C831" t="str">
        <f>IFERROR(INDEX(Gruppi_Atleti!$B$2:$B$122,MATCH(B831,Gruppi_Atleti!$A$2:$A$122,0)),"")</f>
        <v/>
      </c>
    </row>
    <row r="832" spans="3:3" x14ac:dyDescent="0.25">
      <c r="C832" t="str">
        <f>IFERROR(INDEX(Gruppi_Atleti!$B$2:$B$122,MATCH(B832,Gruppi_Atleti!$A$2:$A$122,0)),"")</f>
        <v/>
      </c>
    </row>
    <row r="833" spans="3:3" x14ac:dyDescent="0.25">
      <c r="C833" t="str">
        <f>IFERROR(INDEX(Gruppi_Atleti!$B$2:$B$122,MATCH(B833,Gruppi_Atleti!$A$2:$A$122,0)),"")</f>
        <v/>
      </c>
    </row>
    <row r="834" spans="3:3" x14ac:dyDescent="0.25">
      <c r="C834" t="str">
        <f>IFERROR(INDEX(Gruppi_Atleti!$B$2:$B$122,MATCH(B834,Gruppi_Atleti!$A$2:$A$122,0)),"")</f>
        <v/>
      </c>
    </row>
    <row r="835" spans="3:3" x14ac:dyDescent="0.25">
      <c r="C835" t="str">
        <f>IFERROR(INDEX(Gruppi_Atleti!$B$2:$B$122,MATCH(B835,Gruppi_Atleti!$A$2:$A$122,0)),"")</f>
        <v/>
      </c>
    </row>
    <row r="836" spans="3:3" x14ac:dyDescent="0.25">
      <c r="C836" t="str">
        <f>IFERROR(INDEX(Gruppi_Atleti!$B$2:$B$122,MATCH(B836,Gruppi_Atleti!$A$2:$A$122,0)),"")</f>
        <v/>
      </c>
    </row>
    <row r="837" spans="3:3" x14ac:dyDescent="0.25">
      <c r="C837" t="str">
        <f>IFERROR(INDEX(Gruppi_Atleti!$B$2:$B$122,MATCH(B837,Gruppi_Atleti!$A$2:$A$122,0)),"")</f>
        <v/>
      </c>
    </row>
    <row r="838" spans="3:3" x14ac:dyDescent="0.25">
      <c r="C838" t="str">
        <f>IFERROR(INDEX(Gruppi_Atleti!$B$2:$B$122,MATCH(B838,Gruppi_Atleti!$A$2:$A$122,0)),"")</f>
        <v/>
      </c>
    </row>
    <row r="839" spans="3:3" x14ac:dyDescent="0.25">
      <c r="C839" t="str">
        <f>IFERROR(INDEX(Gruppi_Atleti!$B$2:$B$122,MATCH(B839,Gruppi_Atleti!$A$2:$A$122,0)),"")</f>
        <v/>
      </c>
    </row>
    <row r="840" spans="3:3" x14ac:dyDescent="0.25">
      <c r="C840" t="str">
        <f>IFERROR(INDEX(Gruppi_Atleti!$B$2:$B$122,MATCH(B840,Gruppi_Atleti!$A$2:$A$122,0)),"")</f>
        <v/>
      </c>
    </row>
    <row r="841" spans="3:3" x14ac:dyDescent="0.25">
      <c r="C841" t="str">
        <f>IFERROR(INDEX(Gruppi_Atleti!$B$2:$B$122,MATCH(B841,Gruppi_Atleti!$A$2:$A$122,0)),"")</f>
        <v/>
      </c>
    </row>
    <row r="842" spans="3:3" x14ac:dyDescent="0.25">
      <c r="C842" t="str">
        <f>IFERROR(INDEX(Gruppi_Atleti!$B$2:$B$122,MATCH(B842,Gruppi_Atleti!$A$2:$A$122,0)),"")</f>
        <v/>
      </c>
    </row>
    <row r="843" spans="3:3" x14ac:dyDescent="0.25">
      <c r="C843" t="str">
        <f>IFERROR(INDEX(Gruppi_Atleti!$B$2:$B$122,MATCH(B843,Gruppi_Atleti!$A$2:$A$122,0)),"")</f>
        <v/>
      </c>
    </row>
    <row r="844" spans="3:3" x14ac:dyDescent="0.25">
      <c r="C844" t="str">
        <f>IFERROR(INDEX(Gruppi_Atleti!$B$2:$B$122,MATCH(B844,Gruppi_Atleti!$A$2:$A$122,0)),"")</f>
        <v/>
      </c>
    </row>
    <row r="845" spans="3:3" x14ac:dyDescent="0.25">
      <c r="C845" t="str">
        <f>IFERROR(INDEX(Gruppi_Atleti!$B$2:$B$122,MATCH(B845,Gruppi_Atleti!$A$2:$A$122,0)),"")</f>
        <v/>
      </c>
    </row>
    <row r="846" spans="3:3" x14ac:dyDescent="0.25">
      <c r="C846" t="str">
        <f>IFERROR(INDEX(Gruppi_Atleti!$B$2:$B$122,MATCH(B846,Gruppi_Atleti!$A$2:$A$122,0)),"")</f>
        <v/>
      </c>
    </row>
    <row r="847" spans="3:3" x14ac:dyDescent="0.25">
      <c r="C847" t="str">
        <f>IFERROR(INDEX(Gruppi_Atleti!$B$2:$B$122,MATCH(B847,Gruppi_Atleti!$A$2:$A$122,0)),"")</f>
        <v/>
      </c>
    </row>
    <row r="848" spans="3:3" x14ac:dyDescent="0.25">
      <c r="C848" t="str">
        <f>IFERROR(INDEX(Gruppi_Atleti!$B$2:$B$122,MATCH(B848,Gruppi_Atleti!$A$2:$A$122,0)),"")</f>
        <v/>
      </c>
    </row>
    <row r="849" spans="3:3" x14ac:dyDescent="0.25">
      <c r="C849" t="str">
        <f>IFERROR(INDEX(Gruppi_Atleti!$B$2:$B$122,MATCH(B849,Gruppi_Atleti!$A$2:$A$122,0)),"")</f>
        <v/>
      </c>
    </row>
    <row r="850" spans="3:3" x14ac:dyDescent="0.25">
      <c r="C850" t="str">
        <f>IFERROR(INDEX(Gruppi_Atleti!$B$2:$B$122,MATCH(B850,Gruppi_Atleti!$A$2:$A$122,0)),"")</f>
        <v/>
      </c>
    </row>
    <row r="851" spans="3:3" x14ac:dyDescent="0.25">
      <c r="C851" t="str">
        <f>IFERROR(INDEX(Gruppi_Atleti!$B$2:$B$122,MATCH(B851,Gruppi_Atleti!$A$2:$A$122,0)),"")</f>
        <v/>
      </c>
    </row>
    <row r="852" spans="3:3" x14ac:dyDescent="0.25">
      <c r="C852" t="str">
        <f>IFERROR(INDEX(Gruppi_Atleti!$B$2:$B$122,MATCH(B852,Gruppi_Atleti!$A$2:$A$122,0)),"")</f>
        <v/>
      </c>
    </row>
    <row r="853" spans="3:3" x14ac:dyDescent="0.25">
      <c r="C853" t="str">
        <f>IFERROR(INDEX(Gruppi_Atleti!$B$2:$B$122,MATCH(B853,Gruppi_Atleti!$A$2:$A$122,0)),"")</f>
        <v/>
      </c>
    </row>
    <row r="854" spans="3:3" x14ac:dyDescent="0.25">
      <c r="C854" t="str">
        <f>IFERROR(INDEX(Gruppi_Atleti!$B$2:$B$122,MATCH(B854,Gruppi_Atleti!$A$2:$A$122,0)),"")</f>
        <v/>
      </c>
    </row>
    <row r="855" spans="3:3" x14ac:dyDescent="0.25">
      <c r="C855" t="str">
        <f>IFERROR(INDEX(Gruppi_Atleti!$B$2:$B$122,MATCH(B855,Gruppi_Atleti!$A$2:$A$122,0)),"")</f>
        <v/>
      </c>
    </row>
    <row r="856" spans="3:3" x14ac:dyDescent="0.25">
      <c r="C856" t="str">
        <f>IFERROR(INDEX(Gruppi_Atleti!$B$2:$B$122,MATCH(B856,Gruppi_Atleti!$A$2:$A$122,0)),"")</f>
        <v/>
      </c>
    </row>
    <row r="857" spans="3:3" x14ac:dyDescent="0.25">
      <c r="C857" t="str">
        <f>IFERROR(INDEX(Gruppi_Atleti!$B$2:$B$122,MATCH(B857,Gruppi_Atleti!$A$2:$A$122,0)),"")</f>
        <v/>
      </c>
    </row>
    <row r="858" spans="3:3" x14ac:dyDescent="0.25">
      <c r="C858" t="str">
        <f>IFERROR(INDEX(Gruppi_Atleti!$B$2:$B$122,MATCH(B858,Gruppi_Atleti!$A$2:$A$122,0)),"")</f>
        <v/>
      </c>
    </row>
    <row r="859" spans="3:3" x14ac:dyDescent="0.25">
      <c r="C859" t="str">
        <f>IFERROR(INDEX(Gruppi_Atleti!$B$2:$B$122,MATCH(B859,Gruppi_Atleti!$A$2:$A$122,0)),"")</f>
        <v/>
      </c>
    </row>
    <row r="860" spans="3:3" x14ac:dyDescent="0.25">
      <c r="C860" t="str">
        <f>IFERROR(INDEX(Gruppi_Atleti!$B$2:$B$122,MATCH(B860,Gruppi_Atleti!$A$2:$A$122,0)),"")</f>
        <v/>
      </c>
    </row>
    <row r="861" spans="3:3" x14ac:dyDescent="0.25">
      <c r="C861" t="str">
        <f>IFERROR(INDEX(Gruppi_Atleti!$B$2:$B$122,MATCH(B861,Gruppi_Atleti!$A$2:$A$122,0)),"")</f>
        <v/>
      </c>
    </row>
    <row r="862" spans="3:3" x14ac:dyDescent="0.25">
      <c r="C862" t="str">
        <f>IFERROR(INDEX(Gruppi_Atleti!$B$2:$B$122,MATCH(B862,Gruppi_Atleti!$A$2:$A$122,0)),"")</f>
        <v/>
      </c>
    </row>
    <row r="863" spans="3:3" x14ac:dyDescent="0.25">
      <c r="C863" t="str">
        <f>IFERROR(INDEX(Gruppi_Atleti!$B$2:$B$122,MATCH(B863,Gruppi_Atleti!$A$2:$A$122,0)),"")</f>
        <v/>
      </c>
    </row>
    <row r="864" spans="3:3" x14ac:dyDescent="0.25">
      <c r="C864" t="str">
        <f>IFERROR(INDEX(Gruppi_Atleti!$B$2:$B$122,MATCH(B864,Gruppi_Atleti!$A$2:$A$122,0)),"")</f>
        <v/>
      </c>
    </row>
    <row r="865" spans="3:3" x14ac:dyDescent="0.25">
      <c r="C865" t="str">
        <f>IFERROR(INDEX(Gruppi_Atleti!$B$2:$B$122,MATCH(B865,Gruppi_Atleti!$A$2:$A$122,0)),"")</f>
        <v/>
      </c>
    </row>
    <row r="866" spans="3:3" x14ac:dyDescent="0.25">
      <c r="C866" t="str">
        <f>IFERROR(INDEX(Gruppi_Atleti!$B$2:$B$122,MATCH(B866,Gruppi_Atleti!$A$2:$A$122,0)),"")</f>
        <v/>
      </c>
    </row>
    <row r="867" spans="3:3" x14ac:dyDescent="0.25">
      <c r="C867" t="str">
        <f>IFERROR(INDEX(Gruppi_Atleti!$B$2:$B$122,MATCH(B867,Gruppi_Atleti!$A$2:$A$122,0)),"")</f>
        <v/>
      </c>
    </row>
    <row r="868" spans="3:3" x14ac:dyDescent="0.25">
      <c r="C868" t="str">
        <f>IFERROR(INDEX(Gruppi_Atleti!$B$2:$B$122,MATCH(B868,Gruppi_Atleti!$A$2:$A$122,0)),"")</f>
        <v/>
      </c>
    </row>
    <row r="869" spans="3:3" x14ac:dyDescent="0.25">
      <c r="C869" t="str">
        <f>IFERROR(INDEX(Gruppi_Atleti!$B$2:$B$122,MATCH(B869,Gruppi_Atleti!$A$2:$A$122,0)),"")</f>
        <v/>
      </c>
    </row>
    <row r="870" spans="3:3" x14ac:dyDescent="0.25">
      <c r="C870" t="str">
        <f>IFERROR(INDEX(Gruppi_Atleti!$B$2:$B$122,MATCH(B870,Gruppi_Atleti!$A$2:$A$122,0)),"")</f>
        <v/>
      </c>
    </row>
    <row r="871" spans="3:3" x14ac:dyDescent="0.25">
      <c r="C871" t="str">
        <f>IFERROR(INDEX(Gruppi_Atleti!$B$2:$B$122,MATCH(B871,Gruppi_Atleti!$A$2:$A$122,0)),"")</f>
        <v/>
      </c>
    </row>
    <row r="872" spans="3:3" x14ac:dyDescent="0.25">
      <c r="C872" t="str">
        <f>IFERROR(INDEX(Gruppi_Atleti!$B$2:$B$122,MATCH(B872,Gruppi_Atleti!$A$2:$A$122,0)),"")</f>
        <v/>
      </c>
    </row>
    <row r="873" spans="3:3" x14ac:dyDescent="0.25">
      <c r="C873" t="str">
        <f>IFERROR(INDEX(Gruppi_Atleti!$B$2:$B$122,MATCH(B873,Gruppi_Atleti!$A$2:$A$122,0)),"")</f>
        <v/>
      </c>
    </row>
    <row r="874" spans="3:3" x14ac:dyDescent="0.25">
      <c r="C874" t="str">
        <f>IFERROR(INDEX(Gruppi_Atleti!$B$2:$B$122,MATCH(B874,Gruppi_Atleti!$A$2:$A$122,0)),"")</f>
        <v/>
      </c>
    </row>
    <row r="875" spans="3:3" x14ac:dyDescent="0.25">
      <c r="C875" t="str">
        <f>IFERROR(INDEX(Gruppi_Atleti!$B$2:$B$122,MATCH(B875,Gruppi_Atleti!$A$2:$A$122,0)),"")</f>
        <v/>
      </c>
    </row>
    <row r="876" spans="3:3" x14ac:dyDescent="0.25">
      <c r="C876" t="str">
        <f>IFERROR(INDEX(Gruppi_Atleti!$B$2:$B$122,MATCH(B876,Gruppi_Atleti!$A$2:$A$122,0)),"")</f>
        <v/>
      </c>
    </row>
    <row r="877" spans="3:3" x14ac:dyDescent="0.25">
      <c r="C877" t="str">
        <f>IFERROR(INDEX(Gruppi_Atleti!$B$2:$B$122,MATCH(B877,Gruppi_Atleti!$A$2:$A$122,0)),"")</f>
        <v/>
      </c>
    </row>
    <row r="878" spans="3:3" x14ac:dyDescent="0.25">
      <c r="C878" t="str">
        <f>IFERROR(INDEX(Gruppi_Atleti!$B$2:$B$122,MATCH(B878,Gruppi_Atleti!$A$2:$A$122,0)),"")</f>
        <v/>
      </c>
    </row>
    <row r="879" spans="3:3" x14ac:dyDescent="0.25">
      <c r="C879" t="str">
        <f>IFERROR(INDEX(Gruppi_Atleti!$B$2:$B$122,MATCH(B879,Gruppi_Atleti!$A$2:$A$122,0)),"")</f>
        <v/>
      </c>
    </row>
    <row r="880" spans="3:3" x14ac:dyDescent="0.25">
      <c r="C880" t="str">
        <f>IFERROR(INDEX(Gruppi_Atleti!$B$2:$B$122,MATCH(B880,Gruppi_Atleti!$A$2:$A$122,0)),"")</f>
        <v/>
      </c>
    </row>
    <row r="881" spans="3:3" x14ac:dyDescent="0.25">
      <c r="C881" t="str">
        <f>IFERROR(INDEX(Gruppi_Atleti!$B$2:$B$122,MATCH(B881,Gruppi_Atleti!$A$2:$A$122,0)),"")</f>
        <v/>
      </c>
    </row>
    <row r="882" spans="3:3" x14ac:dyDescent="0.25">
      <c r="C882" t="str">
        <f>IFERROR(INDEX(Gruppi_Atleti!$B$2:$B$122,MATCH(B882,Gruppi_Atleti!$A$2:$A$122,0)),"")</f>
        <v/>
      </c>
    </row>
    <row r="883" spans="3:3" x14ac:dyDescent="0.25">
      <c r="C883" t="str">
        <f>IFERROR(INDEX(Gruppi_Atleti!$B$2:$B$122,MATCH(B883,Gruppi_Atleti!$A$2:$A$122,0)),"")</f>
        <v/>
      </c>
    </row>
    <row r="884" spans="3:3" x14ac:dyDescent="0.25">
      <c r="C884" t="str">
        <f>IFERROR(INDEX(Gruppi_Atleti!$B$2:$B$122,MATCH(B884,Gruppi_Atleti!$A$2:$A$122,0)),"")</f>
        <v/>
      </c>
    </row>
    <row r="885" spans="3:3" x14ac:dyDescent="0.25">
      <c r="C885" t="str">
        <f>IFERROR(INDEX(Gruppi_Atleti!$B$2:$B$122,MATCH(B885,Gruppi_Atleti!$A$2:$A$122,0)),"")</f>
        <v/>
      </c>
    </row>
    <row r="886" spans="3:3" x14ac:dyDescent="0.25">
      <c r="C886" t="str">
        <f>IFERROR(INDEX(Gruppi_Atleti!$B$2:$B$122,MATCH(B886,Gruppi_Atleti!$A$2:$A$122,0)),"")</f>
        <v/>
      </c>
    </row>
    <row r="887" spans="3:3" x14ac:dyDescent="0.25">
      <c r="C887" t="str">
        <f>IFERROR(INDEX(Gruppi_Atleti!$B$2:$B$122,MATCH(B887,Gruppi_Atleti!$A$2:$A$122,0)),"")</f>
        <v/>
      </c>
    </row>
    <row r="888" spans="3:3" x14ac:dyDescent="0.25">
      <c r="C888" t="str">
        <f>IFERROR(INDEX(Gruppi_Atleti!$B$2:$B$122,MATCH(B888,Gruppi_Atleti!$A$2:$A$122,0)),"")</f>
        <v/>
      </c>
    </row>
    <row r="889" spans="3:3" x14ac:dyDescent="0.25">
      <c r="C889" t="str">
        <f>IFERROR(INDEX(Gruppi_Atleti!$B$2:$B$122,MATCH(B889,Gruppi_Atleti!$A$2:$A$122,0)),"")</f>
        <v/>
      </c>
    </row>
    <row r="890" spans="3:3" x14ac:dyDescent="0.25">
      <c r="C890" t="str">
        <f>IFERROR(INDEX(Gruppi_Atleti!$B$2:$B$122,MATCH(B890,Gruppi_Atleti!$A$2:$A$122,0)),"")</f>
        <v/>
      </c>
    </row>
    <row r="891" spans="3:3" x14ac:dyDescent="0.25">
      <c r="C891" t="str">
        <f>IFERROR(INDEX(Gruppi_Atleti!$B$2:$B$122,MATCH(B891,Gruppi_Atleti!$A$2:$A$122,0)),"")</f>
        <v/>
      </c>
    </row>
    <row r="892" spans="3:3" x14ac:dyDescent="0.25">
      <c r="C892" t="str">
        <f>IFERROR(INDEX(Gruppi_Atleti!$B$2:$B$122,MATCH(B892,Gruppi_Atleti!$A$2:$A$122,0)),"")</f>
        <v/>
      </c>
    </row>
    <row r="893" spans="3:3" x14ac:dyDescent="0.25">
      <c r="C893" t="str">
        <f>IFERROR(INDEX(Gruppi_Atleti!$B$2:$B$122,MATCH(B893,Gruppi_Atleti!$A$2:$A$122,0)),"")</f>
        <v/>
      </c>
    </row>
    <row r="894" spans="3:3" x14ac:dyDescent="0.25">
      <c r="C894" t="str">
        <f>IFERROR(INDEX(Gruppi_Atleti!$B$2:$B$122,MATCH(B894,Gruppi_Atleti!$A$2:$A$122,0)),"")</f>
        <v/>
      </c>
    </row>
    <row r="895" spans="3:3" x14ac:dyDescent="0.25">
      <c r="C895" t="str">
        <f>IFERROR(INDEX(Gruppi_Atleti!$B$2:$B$122,MATCH(B895,Gruppi_Atleti!$A$2:$A$122,0)),"")</f>
        <v/>
      </c>
    </row>
    <row r="896" spans="3:3" x14ac:dyDescent="0.25">
      <c r="C896" t="str">
        <f>IFERROR(INDEX(Gruppi_Atleti!$B$2:$B$122,MATCH(B896,Gruppi_Atleti!$A$2:$A$122,0)),"")</f>
        <v/>
      </c>
    </row>
    <row r="897" spans="3:3" x14ac:dyDescent="0.25">
      <c r="C897" t="str">
        <f>IFERROR(INDEX(Gruppi_Atleti!$B$2:$B$122,MATCH(B897,Gruppi_Atleti!$A$2:$A$122,0)),"")</f>
        <v/>
      </c>
    </row>
    <row r="898" spans="3:3" x14ac:dyDescent="0.25">
      <c r="C898" t="str">
        <f>IFERROR(INDEX(Gruppi_Atleti!$B$2:$B$122,MATCH(B898,Gruppi_Atleti!$A$2:$A$122,0)),"")</f>
        <v/>
      </c>
    </row>
    <row r="899" spans="3:3" x14ac:dyDescent="0.25">
      <c r="C899" t="str">
        <f>IFERROR(INDEX(Gruppi_Atleti!$B$2:$B$122,MATCH(B899,Gruppi_Atleti!$A$2:$A$122,0)),"")</f>
        <v/>
      </c>
    </row>
    <row r="900" spans="3:3" x14ac:dyDescent="0.25">
      <c r="C900" t="str">
        <f>IFERROR(INDEX(Gruppi_Atleti!$B$2:$B$122,MATCH(B900,Gruppi_Atleti!$A$2:$A$122,0)),"")</f>
        <v/>
      </c>
    </row>
    <row r="901" spans="3:3" x14ac:dyDescent="0.25">
      <c r="C901" t="str">
        <f>IFERROR(INDEX(Gruppi_Atleti!$B$2:$B$122,MATCH(B901,Gruppi_Atleti!$A$2:$A$122,0)),"")</f>
        <v/>
      </c>
    </row>
    <row r="902" spans="3:3" x14ac:dyDescent="0.25">
      <c r="C902" t="str">
        <f>IFERROR(INDEX(Gruppi_Atleti!$B$2:$B$122,MATCH(B902,Gruppi_Atleti!$A$2:$A$122,0)),"")</f>
        <v/>
      </c>
    </row>
    <row r="903" spans="3:3" x14ac:dyDescent="0.25">
      <c r="C903" t="str">
        <f>IFERROR(INDEX(Gruppi_Atleti!$B$2:$B$122,MATCH(B903,Gruppi_Atleti!$A$2:$A$122,0)),"")</f>
        <v/>
      </c>
    </row>
    <row r="904" spans="3:3" x14ac:dyDescent="0.25">
      <c r="C904" t="str">
        <f>IFERROR(INDEX(Gruppi_Atleti!$B$2:$B$122,MATCH(B904,Gruppi_Atleti!$A$2:$A$122,0)),"")</f>
        <v/>
      </c>
    </row>
    <row r="905" spans="3:3" x14ac:dyDescent="0.25">
      <c r="C905" t="str">
        <f>IFERROR(INDEX(Gruppi_Atleti!$B$2:$B$122,MATCH(B905,Gruppi_Atleti!$A$2:$A$122,0)),"")</f>
        <v/>
      </c>
    </row>
    <row r="906" spans="3:3" x14ac:dyDescent="0.25">
      <c r="C906" t="str">
        <f>IFERROR(INDEX(Gruppi_Atleti!$B$2:$B$122,MATCH(B906,Gruppi_Atleti!$A$2:$A$122,0)),"")</f>
        <v/>
      </c>
    </row>
    <row r="907" spans="3:3" x14ac:dyDescent="0.25">
      <c r="C907" t="str">
        <f>IFERROR(INDEX(Gruppi_Atleti!$B$2:$B$122,MATCH(B907,Gruppi_Atleti!$A$2:$A$122,0)),"")</f>
        <v/>
      </c>
    </row>
    <row r="908" spans="3:3" x14ac:dyDescent="0.25">
      <c r="C908" t="str">
        <f>IFERROR(INDEX(Gruppi_Atleti!$B$2:$B$122,MATCH(B908,Gruppi_Atleti!$A$2:$A$122,0)),"")</f>
        <v/>
      </c>
    </row>
    <row r="909" spans="3:3" x14ac:dyDescent="0.25">
      <c r="C909" t="str">
        <f>IFERROR(INDEX(Gruppi_Atleti!$B$2:$B$122,MATCH(B909,Gruppi_Atleti!$A$2:$A$122,0)),"")</f>
        <v/>
      </c>
    </row>
    <row r="910" spans="3:3" x14ac:dyDescent="0.25">
      <c r="C910" t="str">
        <f>IFERROR(INDEX(Gruppi_Atleti!$B$2:$B$122,MATCH(B910,Gruppi_Atleti!$A$2:$A$122,0)),"")</f>
        <v/>
      </c>
    </row>
    <row r="911" spans="3:3" x14ac:dyDescent="0.25">
      <c r="C911" t="str">
        <f>IFERROR(INDEX(Gruppi_Atleti!$B$2:$B$122,MATCH(B911,Gruppi_Atleti!$A$2:$A$122,0)),"")</f>
        <v/>
      </c>
    </row>
    <row r="912" spans="3:3" x14ac:dyDescent="0.25">
      <c r="C912" t="str">
        <f>IFERROR(INDEX(Gruppi_Atleti!$B$2:$B$122,MATCH(B912,Gruppi_Atleti!$A$2:$A$122,0)),"")</f>
        <v/>
      </c>
    </row>
    <row r="913" spans="3:3" x14ac:dyDescent="0.25">
      <c r="C913" t="str">
        <f>IFERROR(INDEX(Gruppi_Atleti!$B$2:$B$122,MATCH(B913,Gruppi_Atleti!$A$2:$A$122,0)),"")</f>
        <v/>
      </c>
    </row>
    <row r="914" spans="3:3" x14ac:dyDescent="0.25">
      <c r="C914" t="str">
        <f>IFERROR(INDEX(Gruppi_Atleti!$B$2:$B$122,MATCH(B914,Gruppi_Atleti!$A$2:$A$122,0)),"")</f>
        <v/>
      </c>
    </row>
    <row r="915" spans="3:3" x14ac:dyDescent="0.25">
      <c r="C915" t="str">
        <f>IFERROR(INDEX(Gruppi_Atleti!$B$2:$B$122,MATCH(B915,Gruppi_Atleti!$A$2:$A$122,0)),"")</f>
        <v/>
      </c>
    </row>
    <row r="916" spans="3:3" x14ac:dyDescent="0.25">
      <c r="C916" t="str">
        <f>IFERROR(INDEX(Gruppi_Atleti!$B$2:$B$122,MATCH(B916,Gruppi_Atleti!$A$2:$A$122,0)),"")</f>
        <v/>
      </c>
    </row>
    <row r="917" spans="3:3" x14ac:dyDescent="0.25">
      <c r="C917" t="str">
        <f>IFERROR(INDEX(Gruppi_Atleti!$B$2:$B$122,MATCH(B917,Gruppi_Atleti!$A$2:$A$122,0)),"")</f>
        <v/>
      </c>
    </row>
    <row r="918" spans="3:3" x14ac:dyDescent="0.25">
      <c r="C918" t="str">
        <f>IFERROR(INDEX(Gruppi_Atleti!$B$2:$B$122,MATCH(B918,Gruppi_Atleti!$A$2:$A$122,0)),"")</f>
        <v/>
      </c>
    </row>
    <row r="919" spans="3:3" x14ac:dyDescent="0.25">
      <c r="C919" t="str">
        <f>IFERROR(INDEX(Gruppi_Atleti!$B$2:$B$122,MATCH(B919,Gruppi_Atleti!$A$2:$A$122,0)),"")</f>
        <v/>
      </c>
    </row>
    <row r="920" spans="3:3" x14ac:dyDescent="0.25">
      <c r="C920" t="str">
        <f>IFERROR(INDEX(Gruppi_Atleti!$B$2:$B$122,MATCH(B920,Gruppi_Atleti!$A$2:$A$122,0)),"")</f>
        <v/>
      </c>
    </row>
    <row r="921" spans="3:3" x14ac:dyDescent="0.25">
      <c r="C921" t="str">
        <f>IFERROR(INDEX(Gruppi_Atleti!$B$2:$B$122,MATCH(B921,Gruppi_Atleti!$A$2:$A$122,0)),"")</f>
        <v/>
      </c>
    </row>
    <row r="922" spans="3:3" x14ac:dyDescent="0.25">
      <c r="C922" t="str">
        <f>IFERROR(INDEX(Gruppi_Atleti!$B$2:$B$122,MATCH(B922,Gruppi_Atleti!$A$2:$A$122,0)),"")</f>
        <v/>
      </c>
    </row>
    <row r="923" spans="3:3" x14ac:dyDescent="0.25">
      <c r="C923" t="str">
        <f>IFERROR(INDEX(Gruppi_Atleti!$B$2:$B$122,MATCH(B923,Gruppi_Atleti!$A$2:$A$122,0)),"")</f>
        <v/>
      </c>
    </row>
    <row r="924" spans="3:3" x14ac:dyDescent="0.25">
      <c r="C924" t="str">
        <f>IFERROR(INDEX(Gruppi_Atleti!$B$2:$B$122,MATCH(B924,Gruppi_Atleti!$A$2:$A$122,0)),"")</f>
        <v/>
      </c>
    </row>
    <row r="925" spans="3:3" x14ac:dyDescent="0.25">
      <c r="C925" t="str">
        <f>IFERROR(INDEX(Gruppi_Atleti!$B$2:$B$122,MATCH(B925,Gruppi_Atleti!$A$2:$A$122,0)),"")</f>
        <v/>
      </c>
    </row>
    <row r="926" spans="3:3" x14ac:dyDescent="0.25">
      <c r="C926" t="str">
        <f>IFERROR(INDEX(Gruppi_Atleti!$B$2:$B$122,MATCH(B926,Gruppi_Atleti!$A$2:$A$122,0)),"")</f>
        <v/>
      </c>
    </row>
    <row r="927" spans="3:3" x14ac:dyDescent="0.25">
      <c r="C927" t="str">
        <f>IFERROR(INDEX(Gruppi_Atleti!$B$2:$B$122,MATCH(B927,Gruppi_Atleti!$A$2:$A$122,0)),"")</f>
        <v/>
      </c>
    </row>
    <row r="928" spans="3:3" x14ac:dyDescent="0.25">
      <c r="C928" t="str">
        <f>IFERROR(INDEX(Gruppi_Atleti!$B$2:$B$122,MATCH(B928,Gruppi_Atleti!$A$2:$A$122,0)),"")</f>
        <v/>
      </c>
    </row>
    <row r="929" spans="3:3" x14ac:dyDescent="0.25">
      <c r="C929" t="str">
        <f>IFERROR(INDEX(Gruppi_Atleti!$B$2:$B$122,MATCH(B929,Gruppi_Atleti!$A$2:$A$122,0)),"")</f>
        <v/>
      </c>
    </row>
    <row r="930" spans="3:3" x14ac:dyDescent="0.25">
      <c r="C930" t="str">
        <f>IFERROR(INDEX(Gruppi_Atleti!$B$2:$B$122,MATCH(B930,Gruppi_Atleti!$A$2:$A$122,0)),"")</f>
        <v/>
      </c>
    </row>
    <row r="931" spans="3:3" x14ac:dyDescent="0.25">
      <c r="C931" t="str">
        <f>IFERROR(INDEX(Gruppi_Atleti!$B$2:$B$122,MATCH(B931,Gruppi_Atleti!$A$2:$A$122,0)),"")</f>
        <v/>
      </c>
    </row>
    <row r="932" spans="3:3" x14ac:dyDescent="0.25">
      <c r="C932" t="str">
        <f>IFERROR(INDEX(Gruppi_Atleti!$B$2:$B$122,MATCH(B932,Gruppi_Atleti!$A$2:$A$122,0)),"")</f>
        <v/>
      </c>
    </row>
    <row r="933" spans="3:3" x14ac:dyDescent="0.25">
      <c r="C933" t="str">
        <f>IFERROR(INDEX(Gruppi_Atleti!$B$2:$B$122,MATCH(B933,Gruppi_Atleti!$A$2:$A$122,0)),"")</f>
        <v/>
      </c>
    </row>
    <row r="934" spans="3:3" x14ac:dyDescent="0.25">
      <c r="C934" t="str">
        <f>IFERROR(INDEX(Gruppi_Atleti!$B$2:$B$122,MATCH(B934,Gruppi_Atleti!$A$2:$A$122,0)),"")</f>
        <v/>
      </c>
    </row>
    <row r="935" spans="3:3" x14ac:dyDescent="0.25">
      <c r="C935" t="str">
        <f>IFERROR(INDEX(Gruppi_Atleti!$B$2:$B$122,MATCH(B935,Gruppi_Atleti!$A$2:$A$122,0)),"")</f>
        <v/>
      </c>
    </row>
    <row r="936" spans="3:3" x14ac:dyDescent="0.25">
      <c r="C936" t="str">
        <f>IFERROR(INDEX(Gruppi_Atleti!$B$2:$B$122,MATCH(B936,Gruppi_Atleti!$A$2:$A$122,0)),"")</f>
        <v/>
      </c>
    </row>
    <row r="937" spans="3:3" x14ac:dyDescent="0.25">
      <c r="C937" t="str">
        <f>IFERROR(INDEX(Gruppi_Atleti!$B$2:$B$122,MATCH(B937,Gruppi_Atleti!$A$2:$A$122,0)),"")</f>
        <v/>
      </c>
    </row>
    <row r="938" spans="3:3" x14ac:dyDescent="0.25">
      <c r="C938" t="str">
        <f>IFERROR(INDEX(Gruppi_Atleti!$B$2:$B$122,MATCH(B938,Gruppi_Atleti!$A$2:$A$122,0)),"")</f>
        <v/>
      </c>
    </row>
    <row r="939" spans="3:3" x14ac:dyDescent="0.25">
      <c r="C939" t="str">
        <f>IFERROR(INDEX(Gruppi_Atleti!$B$2:$B$122,MATCH(B939,Gruppi_Atleti!$A$2:$A$122,0)),"")</f>
        <v/>
      </c>
    </row>
    <row r="940" spans="3:3" x14ac:dyDescent="0.25">
      <c r="C940" t="str">
        <f>IFERROR(INDEX(Gruppi_Atleti!$B$2:$B$122,MATCH(B940,Gruppi_Atleti!$A$2:$A$122,0)),"")</f>
        <v/>
      </c>
    </row>
    <row r="941" spans="3:3" x14ac:dyDescent="0.25">
      <c r="C941" t="str">
        <f>IFERROR(INDEX(Gruppi_Atleti!$B$2:$B$122,MATCH(B941,Gruppi_Atleti!$A$2:$A$122,0)),"")</f>
        <v/>
      </c>
    </row>
    <row r="942" spans="3:3" x14ac:dyDescent="0.25">
      <c r="C942" t="str">
        <f>IFERROR(INDEX(Gruppi_Atleti!$B$2:$B$122,MATCH(B942,Gruppi_Atleti!$A$2:$A$122,0)),"")</f>
        <v/>
      </c>
    </row>
    <row r="943" spans="3:3" x14ac:dyDescent="0.25">
      <c r="C943" t="str">
        <f>IFERROR(INDEX(Gruppi_Atleti!$B$2:$B$122,MATCH(B943,Gruppi_Atleti!$A$2:$A$122,0)),"")</f>
        <v/>
      </c>
    </row>
    <row r="944" spans="3:3" x14ac:dyDescent="0.25">
      <c r="C944" t="str">
        <f>IFERROR(INDEX(Gruppi_Atleti!$B$2:$B$122,MATCH(B944,Gruppi_Atleti!$A$2:$A$122,0)),"")</f>
        <v/>
      </c>
    </row>
    <row r="945" spans="3:3" x14ac:dyDescent="0.25">
      <c r="C945" t="str">
        <f>IFERROR(INDEX(Gruppi_Atleti!$B$2:$B$122,MATCH(B945,Gruppi_Atleti!$A$2:$A$122,0)),"")</f>
        <v/>
      </c>
    </row>
    <row r="946" spans="3:3" x14ac:dyDescent="0.25">
      <c r="C946" t="str">
        <f>IFERROR(INDEX(Gruppi_Atleti!$B$2:$B$122,MATCH(B946,Gruppi_Atleti!$A$2:$A$122,0)),"")</f>
        <v/>
      </c>
    </row>
    <row r="947" spans="3:3" x14ac:dyDescent="0.25">
      <c r="C947" t="str">
        <f>IFERROR(INDEX(Gruppi_Atleti!$B$2:$B$122,MATCH(B947,Gruppi_Atleti!$A$2:$A$122,0)),"")</f>
        <v/>
      </c>
    </row>
    <row r="948" spans="3:3" x14ac:dyDescent="0.25">
      <c r="C948" t="str">
        <f>IFERROR(INDEX(Gruppi_Atleti!$B$2:$B$122,MATCH(B948,Gruppi_Atleti!$A$2:$A$122,0)),"")</f>
        <v/>
      </c>
    </row>
    <row r="949" spans="3:3" x14ac:dyDescent="0.25">
      <c r="C949" t="str">
        <f>IFERROR(INDEX(Gruppi_Atleti!$B$2:$B$122,MATCH(B949,Gruppi_Atleti!$A$2:$A$122,0)),"")</f>
        <v/>
      </c>
    </row>
    <row r="950" spans="3:3" x14ac:dyDescent="0.25">
      <c r="C950" t="str">
        <f>IFERROR(INDEX(Gruppi_Atleti!$B$2:$B$122,MATCH(B950,Gruppi_Atleti!$A$2:$A$122,0)),"")</f>
        <v/>
      </c>
    </row>
    <row r="951" spans="3:3" x14ac:dyDescent="0.25">
      <c r="C951" t="str">
        <f>IFERROR(INDEX(Gruppi_Atleti!$B$2:$B$122,MATCH(B951,Gruppi_Atleti!$A$2:$A$122,0)),"")</f>
        <v/>
      </c>
    </row>
    <row r="952" spans="3:3" x14ac:dyDescent="0.25">
      <c r="C952" t="str">
        <f>IFERROR(INDEX(Gruppi_Atleti!$B$2:$B$122,MATCH(B952,Gruppi_Atleti!$A$2:$A$122,0)),"")</f>
        <v/>
      </c>
    </row>
    <row r="953" spans="3:3" x14ac:dyDescent="0.25">
      <c r="C953" t="str">
        <f>IFERROR(INDEX(Gruppi_Atleti!$B$2:$B$122,MATCH(B953,Gruppi_Atleti!$A$2:$A$122,0)),"")</f>
        <v/>
      </c>
    </row>
    <row r="954" spans="3:3" x14ac:dyDescent="0.25">
      <c r="C954" t="str">
        <f>IFERROR(INDEX(Gruppi_Atleti!$B$2:$B$122,MATCH(B954,Gruppi_Atleti!$A$2:$A$122,0)),"")</f>
        <v/>
      </c>
    </row>
    <row r="955" spans="3:3" x14ac:dyDescent="0.25">
      <c r="C955" t="str">
        <f>IFERROR(INDEX(Gruppi_Atleti!$B$2:$B$122,MATCH(B955,Gruppi_Atleti!$A$2:$A$122,0)),"")</f>
        <v/>
      </c>
    </row>
    <row r="956" spans="3:3" x14ac:dyDescent="0.25">
      <c r="C956" t="str">
        <f>IFERROR(INDEX(Gruppi_Atleti!$B$2:$B$122,MATCH(B956,Gruppi_Atleti!$A$2:$A$122,0)),"")</f>
        <v/>
      </c>
    </row>
    <row r="957" spans="3:3" x14ac:dyDescent="0.25">
      <c r="C957" t="str">
        <f>IFERROR(INDEX(Gruppi_Atleti!$B$2:$B$122,MATCH(B957,Gruppi_Atleti!$A$2:$A$122,0)),"")</f>
        <v/>
      </c>
    </row>
    <row r="958" spans="3:3" x14ac:dyDescent="0.25">
      <c r="C958" t="str">
        <f>IFERROR(INDEX(Gruppi_Atleti!$B$2:$B$122,MATCH(B958,Gruppi_Atleti!$A$2:$A$122,0)),"")</f>
        <v/>
      </c>
    </row>
    <row r="959" spans="3:3" x14ac:dyDescent="0.25">
      <c r="C959" t="str">
        <f>IFERROR(INDEX(Gruppi_Atleti!$B$2:$B$122,MATCH(B959,Gruppi_Atleti!$A$2:$A$122,0)),"")</f>
        <v/>
      </c>
    </row>
    <row r="960" spans="3:3" x14ac:dyDescent="0.25">
      <c r="C960" t="str">
        <f>IFERROR(INDEX(Gruppi_Atleti!$B$2:$B$122,MATCH(B960,Gruppi_Atleti!$A$2:$A$122,0)),"")</f>
        <v/>
      </c>
    </row>
    <row r="961" spans="3:3" x14ac:dyDescent="0.25">
      <c r="C961" t="str">
        <f>IFERROR(INDEX(Gruppi_Atleti!$B$2:$B$122,MATCH(B961,Gruppi_Atleti!$A$2:$A$122,0)),"")</f>
        <v/>
      </c>
    </row>
    <row r="962" spans="3:3" x14ac:dyDescent="0.25">
      <c r="C962" t="str">
        <f>IFERROR(INDEX(Gruppi_Atleti!$B$2:$B$122,MATCH(B962,Gruppi_Atleti!$A$2:$A$122,0)),"")</f>
        <v/>
      </c>
    </row>
    <row r="963" spans="3:3" x14ac:dyDescent="0.25">
      <c r="C963" t="str">
        <f>IFERROR(INDEX(Gruppi_Atleti!$B$2:$B$122,MATCH(B963,Gruppi_Atleti!$A$2:$A$122,0)),"")</f>
        <v/>
      </c>
    </row>
    <row r="964" spans="3:3" x14ac:dyDescent="0.25">
      <c r="C964" t="str">
        <f>IFERROR(INDEX(Gruppi_Atleti!$B$2:$B$122,MATCH(B964,Gruppi_Atleti!$A$2:$A$122,0)),"")</f>
        <v/>
      </c>
    </row>
    <row r="965" spans="3:3" x14ac:dyDescent="0.25">
      <c r="C965" t="str">
        <f>IFERROR(INDEX(Gruppi_Atleti!$B$2:$B$122,MATCH(B965,Gruppi_Atleti!$A$2:$A$122,0)),"")</f>
        <v/>
      </c>
    </row>
    <row r="966" spans="3:3" x14ac:dyDescent="0.25">
      <c r="C966" t="str">
        <f>IFERROR(INDEX(Gruppi_Atleti!$B$2:$B$122,MATCH(B966,Gruppi_Atleti!$A$2:$A$122,0)),"")</f>
        <v/>
      </c>
    </row>
    <row r="967" spans="3:3" x14ac:dyDescent="0.25">
      <c r="C967" t="str">
        <f>IFERROR(INDEX(Gruppi_Atleti!$B$2:$B$122,MATCH(B967,Gruppi_Atleti!$A$2:$A$122,0)),"")</f>
        <v/>
      </c>
    </row>
    <row r="968" spans="3:3" x14ac:dyDescent="0.25">
      <c r="C968" t="str">
        <f>IFERROR(INDEX(Gruppi_Atleti!$B$2:$B$122,MATCH(B968,Gruppi_Atleti!$A$2:$A$122,0)),"")</f>
        <v/>
      </c>
    </row>
    <row r="969" spans="3:3" x14ac:dyDescent="0.25">
      <c r="C969" t="str">
        <f>IFERROR(INDEX(Gruppi_Atleti!$B$2:$B$122,MATCH(B969,Gruppi_Atleti!$A$2:$A$122,0)),"")</f>
        <v/>
      </c>
    </row>
    <row r="970" spans="3:3" x14ac:dyDescent="0.25">
      <c r="C970" t="str">
        <f>IFERROR(INDEX(Gruppi_Atleti!$B$2:$B$122,MATCH(B970,Gruppi_Atleti!$A$2:$A$122,0)),"")</f>
        <v/>
      </c>
    </row>
    <row r="971" spans="3:3" x14ac:dyDescent="0.25">
      <c r="C971" t="str">
        <f>IFERROR(INDEX(Gruppi_Atleti!$B$2:$B$122,MATCH(B971,Gruppi_Atleti!$A$2:$A$122,0)),"")</f>
        <v/>
      </c>
    </row>
    <row r="972" spans="3:3" x14ac:dyDescent="0.25">
      <c r="C972" t="str">
        <f>IFERROR(INDEX(Gruppi_Atleti!$B$2:$B$122,MATCH(B972,Gruppi_Atleti!$A$2:$A$122,0)),"")</f>
        <v/>
      </c>
    </row>
    <row r="973" spans="3:3" x14ac:dyDescent="0.25">
      <c r="C973" t="str">
        <f>IFERROR(INDEX(Gruppi_Atleti!$B$2:$B$122,MATCH(B973,Gruppi_Atleti!$A$2:$A$122,0)),"")</f>
        <v/>
      </c>
    </row>
    <row r="974" spans="3:3" x14ac:dyDescent="0.25">
      <c r="C974" t="str">
        <f>IFERROR(INDEX(Gruppi_Atleti!$B$2:$B$122,MATCH(B974,Gruppi_Atleti!$A$2:$A$122,0)),"")</f>
        <v/>
      </c>
    </row>
    <row r="975" spans="3:3" x14ac:dyDescent="0.25">
      <c r="C975" t="str">
        <f>IFERROR(INDEX(Gruppi_Atleti!$B$2:$B$122,MATCH(B975,Gruppi_Atleti!$A$2:$A$122,0)),"")</f>
        <v/>
      </c>
    </row>
    <row r="976" spans="3:3" x14ac:dyDescent="0.25">
      <c r="C976" t="str">
        <f>IFERROR(INDEX(Gruppi_Atleti!$B$2:$B$122,MATCH(B976,Gruppi_Atleti!$A$2:$A$122,0)),"")</f>
        <v/>
      </c>
    </row>
    <row r="977" spans="3:3" x14ac:dyDescent="0.25">
      <c r="C977" t="str">
        <f>IFERROR(INDEX(Gruppi_Atleti!$B$2:$B$122,MATCH(B977,Gruppi_Atleti!$A$2:$A$122,0)),"")</f>
        <v/>
      </c>
    </row>
    <row r="978" spans="3:3" x14ac:dyDescent="0.25">
      <c r="C978" t="str">
        <f>IFERROR(INDEX(Gruppi_Atleti!$B$2:$B$122,MATCH(B978,Gruppi_Atleti!$A$2:$A$122,0)),"")</f>
        <v/>
      </c>
    </row>
    <row r="979" spans="3:3" x14ac:dyDescent="0.25">
      <c r="C979" t="str">
        <f>IFERROR(INDEX(Gruppi_Atleti!$B$2:$B$122,MATCH(B979,Gruppi_Atleti!$A$2:$A$122,0)),"")</f>
        <v/>
      </c>
    </row>
    <row r="980" spans="3:3" x14ac:dyDescent="0.25">
      <c r="C980" t="str">
        <f>IFERROR(INDEX(Gruppi_Atleti!$B$2:$B$122,MATCH(B980,Gruppi_Atleti!$A$2:$A$122,0)),"")</f>
        <v/>
      </c>
    </row>
    <row r="981" spans="3:3" x14ac:dyDescent="0.25">
      <c r="C981" t="str">
        <f>IFERROR(INDEX(Gruppi_Atleti!$B$2:$B$122,MATCH(B981,Gruppi_Atleti!$A$2:$A$122,0)),"")</f>
        <v/>
      </c>
    </row>
    <row r="982" spans="3:3" x14ac:dyDescent="0.25">
      <c r="C982" t="str">
        <f>IFERROR(INDEX(Gruppi_Atleti!$B$2:$B$122,MATCH(B982,Gruppi_Atleti!$A$2:$A$122,0)),"")</f>
        <v/>
      </c>
    </row>
    <row r="983" spans="3:3" x14ac:dyDescent="0.25">
      <c r="C983" t="str">
        <f>IFERROR(INDEX(Gruppi_Atleti!$B$2:$B$122,MATCH(B983,Gruppi_Atleti!$A$2:$A$122,0)),"")</f>
        <v/>
      </c>
    </row>
    <row r="984" spans="3:3" x14ac:dyDescent="0.25">
      <c r="C984" t="str">
        <f>IFERROR(INDEX(Gruppi_Atleti!$B$2:$B$122,MATCH(B984,Gruppi_Atleti!$A$2:$A$122,0)),"")</f>
        <v/>
      </c>
    </row>
    <row r="985" spans="3:3" x14ac:dyDescent="0.25">
      <c r="C985" t="str">
        <f>IFERROR(INDEX(Gruppi_Atleti!$B$2:$B$122,MATCH(B985,Gruppi_Atleti!$A$2:$A$122,0)),"")</f>
        <v/>
      </c>
    </row>
    <row r="986" spans="3:3" x14ac:dyDescent="0.25">
      <c r="C986" t="str">
        <f>IFERROR(INDEX(Gruppi_Atleti!$B$2:$B$122,MATCH(B986,Gruppi_Atleti!$A$2:$A$122,0)),"")</f>
        <v/>
      </c>
    </row>
    <row r="987" spans="3:3" x14ac:dyDescent="0.25">
      <c r="C987" t="str">
        <f>IFERROR(INDEX(Gruppi_Atleti!$B$2:$B$122,MATCH(B987,Gruppi_Atleti!$A$2:$A$122,0)),"")</f>
        <v/>
      </c>
    </row>
    <row r="988" spans="3:3" x14ac:dyDescent="0.25">
      <c r="C988" t="str">
        <f>IFERROR(INDEX(Gruppi_Atleti!$B$2:$B$122,MATCH(B988,Gruppi_Atleti!$A$2:$A$122,0)),"")</f>
        <v/>
      </c>
    </row>
    <row r="989" spans="3:3" x14ac:dyDescent="0.25">
      <c r="C989" t="str">
        <f>IFERROR(INDEX(Gruppi_Atleti!$B$2:$B$122,MATCH(B989,Gruppi_Atleti!$A$2:$A$122,0)),"")</f>
        <v/>
      </c>
    </row>
    <row r="990" spans="3:3" x14ac:dyDescent="0.25">
      <c r="C990" t="str">
        <f>IFERROR(INDEX(Gruppi_Atleti!$B$2:$B$122,MATCH(B990,Gruppi_Atleti!$A$2:$A$122,0)),"")</f>
        <v/>
      </c>
    </row>
    <row r="991" spans="3:3" x14ac:dyDescent="0.25">
      <c r="C991" t="str">
        <f>IFERROR(INDEX(Gruppi_Atleti!$B$2:$B$122,MATCH(B991,Gruppi_Atleti!$A$2:$A$122,0)),"")</f>
        <v/>
      </c>
    </row>
    <row r="992" spans="3:3" x14ac:dyDescent="0.25">
      <c r="C992" t="str">
        <f>IFERROR(INDEX(Gruppi_Atleti!$B$2:$B$122,MATCH(B992,Gruppi_Atleti!$A$2:$A$122,0)),"")</f>
        <v/>
      </c>
    </row>
    <row r="993" spans="3:3" x14ac:dyDescent="0.25">
      <c r="C993" t="str">
        <f>IFERROR(INDEX(Gruppi_Atleti!$B$2:$B$122,MATCH(B993,Gruppi_Atleti!$A$2:$A$122,0)),"")</f>
        <v/>
      </c>
    </row>
    <row r="994" spans="3:3" x14ac:dyDescent="0.25">
      <c r="C994" t="str">
        <f>IFERROR(INDEX(Gruppi_Atleti!$B$2:$B$122,MATCH(B994,Gruppi_Atleti!$A$2:$A$122,0)),"")</f>
        <v/>
      </c>
    </row>
    <row r="995" spans="3:3" x14ac:dyDescent="0.25">
      <c r="C995" t="str">
        <f>IFERROR(INDEX(Gruppi_Atleti!$B$2:$B$122,MATCH(B995,Gruppi_Atleti!$A$2:$A$122,0)),"")</f>
        <v/>
      </c>
    </row>
    <row r="996" spans="3:3" x14ac:dyDescent="0.25">
      <c r="C996" t="str">
        <f>IFERROR(INDEX(Gruppi_Atleti!$B$2:$B$122,MATCH(B996,Gruppi_Atleti!$A$2:$A$122,0)),"")</f>
        <v/>
      </c>
    </row>
    <row r="997" spans="3:3" x14ac:dyDescent="0.25">
      <c r="C997" t="str">
        <f>IFERROR(INDEX(Gruppi_Atleti!$B$2:$B$122,MATCH(B997,Gruppi_Atleti!$A$2:$A$122,0)),"")</f>
        <v/>
      </c>
    </row>
    <row r="998" spans="3:3" x14ac:dyDescent="0.25">
      <c r="C998" t="str">
        <f>IFERROR(INDEX(Gruppi_Atleti!$B$2:$B$122,MATCH(B998,Gruppi_Atleti!$A$2:$A$122,0)),"")</f>
        <v/>
      </c>
    </row>
    <row r="999" spans="3:3" x14ac:dyDescent="0.25">
      <c r="C999" t="str">
        <f>IFERROR(INDEX(Gruppi_Atleti!$B$2:$B$122,MATCH(B999,Gruppi_Atleti!$A$2:$A$122,0)),"")</f>
        <v/>
      </c>
    </row>
    <row r="1000" spans="3:3" x14ac:dyDescent="0.25">
      <c r="C1000" t="str">
        <f>IFERROR(INDEX(Gruppi_Atleti!$B$2:$B$122,MATCH(B1000,Gruppi_Atleti!$A$2:$A$122,0)),"")</f>
        <v/>
      </c>
    </row>
  </sheetData>
  <dataValidations count="2">
    <dataValidation type="list" allowBlank="1" showInputMessage="1" showErrorMessage="1" sqref="B2:B1000" xr:uid="{00000000-0002-0000-0100-000000000000}">
      <formula1>"1,2,3,4,5,6,7,8,9,10,11,12,13,14,15,16,17"</formula1>
    </dataValidation>
    <dataValidation type="list" allowBlank="1" showInputMessage="1" showErrorMessage="1" errorTitle="Errore di inserimento" error="Valore non valido. Usa S o N." promptTitle="Presenza / Assenza" prompt="Seleziona S (sì) o N (no)." sqref="E2:F1000" xr:uid="{00000000-0002-0000-0100-000002000000}">
      <formula1>"S,N"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Gruppi_Atleti!$D$2:$D$122</xm:f>
          </x14:formula1>
          <xm:sqref>D2:D1000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139</v>
      </c>
      <c r="D1" t="s">
        <v>140</v>
      </c>
      <c r="E1" t="s">
        <v>141</v>
      </c>
    </row>
    <row r="2" spans="1:5" x14ac:dyDescent="0.25">
      <c r="A2">
        <v>1</v>
      </c>
      <c r="B2" t="s">
        <v>17</v>
      </c>
    </row>
    <row r="3" spans="1:5" x14ac:dyDescent="0.25">
      <c r="A3">
        <v>2</v>
      </c>
      <c r="B3" t="s">
        <v>26</v>
      </c>
    </row>
    <row r="4" spans="1:5" x14ac:dyDescent="0.25">
      <c r="A4">
        <v>3</v>
      </c>
      <c r="B4" t="s">
        <v>35</v>
      </c>
    </row>
    <row r="5" spans="1:5" x14ac:dyDescent="0.25">
      <c r="A5">
        <v>4</v>
      </c>
      <c r="B5" t="s">
        <v>42</v>
      </c>
    </row>
    <row r="6" spans="1:5" x14ac:dyDescent="0.25">
      <c r="A6">
        <v>5</v>
      </c>
      <c r="B6" t="s">
        <v>48</v>
      </c>
    </row>
    <row r="7" spans="1:5" x14ac:dyDescent="0.25">
      <c r="A7">
        <v>6</v>
      </c>
      <c r="B7" t="s">
        <v>56</v>
      </c>
    </row>
    <row r="8" spans="1:5" x14ac:dyDescent="0.25">
      <c r="A8">
        <v>7</v>
      </c>
      <c r="B8" t="s">
        <v>64</v>
      </c>
    </row>
    <row r="9" spans="1:5" x14ac:dyDescent="0.25">
      <c r="A9">
        <v>8</v>
      </c>
      <c r="B9" t="s">
        <v>70</v>
      </c>
    </row>
    <row r="10" spans="1:5" x14ac:dyDescent="0.25">
      <c r="A10">
        <v>9</v>
      </c>
      <c r="B10" t="s">
        <v>77</v>
      </c>
    </row>
    <row r="11" spans="1:5" x14ac:dyDescent="0.25">
      <c r="A11">
        <v>10</v>
      </c>
      <c r="B11" t="s">
        <v>80</v>
      </c>
    </row>
    <row r="12" spans="1:5" x14ac:dyDescent="0.25">
      <c r="A12">
        <v>11</v>
      </c>
      <c r="B12" t="s">
        <v>86</v>
      </c>
    </row>
    <row r="13" spans="1:5" x14ac:dyDescent="0.25">
      <c r="A13">
        <v>12</v>
      </c>
      <c r="B13" t="s">
        <v>93</v>
      </c>
    </row>
    <row r="14" spans="1:5" x14ac:dyDescent="0.25">
      <c r="A14">
        <v>13</v>
      </c>
      <c r="B14" t="s">
        <v>98</v>
      </c>
    </row>
    <row r="15" spans="1:5" x14ac:dyDescent="0.25">
      <c r="A15">
        <v>14</v>
      </c>
      <c r="B15" t="s">
        <v>107</v>
      </c>
    </row>
    <row r="16" spans="1:5" x14ac:dyDescent="0.25">
      <c r="A16">
        <v>15</v>
      </c>
      <c r="B16" t="s">
        <v>114</v>
      </c>
    </row>
    <row r="17" spans="1:5" x14ac:dyDescent="0.25">
      <c r="A17">
        <v>16</v>
      </c>
      <c r="B17" t="s">
        <v>122</v>
      </c>
    </row>
    <row r="18" spans="1:5" x14ac:dyDescent="0.25">
      <c r="A18">
        <v>17</v>
      </c>
      <c r="B18" t="s">
        <v>127</v>
      </c>
    </row>
    <row r="20" spans="1:5" x14ac:dyDescent="0.25">
      <c r="A20" t="s">
        <v>3</v>
      </c>
      <c r="B20" t="s">
        <v>142</v>
      </c>
      <c r="C20" t="s">
        <v>8</v>
      </c>
      <c r="D20" t="s">
        <v>9</v>
      </c>
      <c r="E2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Gruppi_Atleti</vt:lpstr>
      <vt:lpstr>Presenze</vt:lpstr>
      <vt:lpstr>Disponibilità_Recuperi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Franzini Omar (UniCredit)</cp:lastModifiedBy>
  <dcterms:created xsi:type="dcterms:W3CDTF">2025-11-25T20:49:20Z</dcterms:created>
  <dcterms:modified xsi:type="dcterms:W3CDTF">2026-01-16T09:29:19Z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db9e61-aac5-4f6e-805d-ceb8cb9983a1_Enabled">
    <vt:lpwstr>true</vt:lpwstr>
  </property>
  <property fmtid="{D5CDD505-2E9C-101B-9397-08002B2CF9AE}" pid="3" name="MSIP_Label_29db9e61-aac5-4f6e-805d-ceb8cb9983a1_SetDate">
    <vt:lpwstr>2026-01-15T20:18:46Z</vt:lpwstr>
  </property>
  <property fmtid="{D5CDD505-2E9C-101B-9397-08002B2CF9AE}" pid="4" name="MSIP_Label_29db9e61-aac5-4f6e-805d-ceb8cb9983a1_Method">
    <vt:lpwstr>Standard</vt:lpwstr>
  </property>
  <property fmtid="{D5CDD505-2E9C-101B-9397-08002B2CF9AE}" pid="5" name="MSIP_Label_29db9e61-aac5-4f6e-805d-ceb8cb9983a1_Name">
    <vt:lpwstr>UniCredit - Internal Use Only - no visual markings</vt:lpwstr>
  </property>
  <property fmtid="{D5CDD505-2E9C-101B-9397-08002B2CF9AE}" pid="6" name="MSIP_Label_29db9e61-aac5-4f6e-805d-ceb8cb9983a1_SiteId">
    <vt:lpwstr>2cc49ce9-66a1-41ac-a96b-bdc54247696a</vt:lpwstr>
  </property>
  <property fmtid="{D5CDD505-2E9C-101B-9397-08002B2CF9AE}" pid="7" name="MSIP_Label_29db9e61-aac5-4f6e-805d-ceb8cb9983a1_ActionId">
    <vt:lpwstr>a9d5967e-ee03-4585-8d13-716dedd50211</vt:lpwstr>
  </property>
  <property fmtid="{D5CDD505-2E9C-101B-9397-08002B2CF9AE}" pid="8" name="MSIP_Label_29db9e61-aac5-4f6e-805d-ceb8cb9983a1_ContentBits">
    <vt:lpwstr>0</vt:lpwstr>
  </property>
  <property fmtid="{D5CDD505-2E9C-101B-9397-08002B2CF9AE}" pid="9" name="MSIP_Label_29db9e61-aac5-4f6e-805d-ceb8cb9983a1_Tag">
    <vt:lpwstr>10, 3, 0, 1</vt:lpwstr>
  </property>
</Properties>
</file>